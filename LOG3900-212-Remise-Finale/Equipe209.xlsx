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07"/>
  <workbookPr codeName="ThisWorkbook" defaultThemeVersion="166925"/>
  <mc:AlternateContent xmlns:mc="http://schemas.openxmlformats.org/markup-compatibility/2006">
    <mc:Choice Requires="x15">
      <x15ac:absPath xmlns:x15ac="http://schemas.microsoft.com/office/spreadsheetml/2010/11/ac" url="C:\Users\Nikolay\Downloads\"/>
    </mc:Choice>
  </mc:AlternateContent>
  <xr:revisionPtr revIDLastSave="383" documentId="8_{6BB8C8F4-817F-4135-A9EF-0E7E368F1CF2}" xr6:coauthVersionLast="47" xr6:coauthVersionMax="47" xr10:uidLastSave="{8D5B9FE1-CE41-484F-B56C-834CE45C67A3}"/>
  <bookViews>
    <workbookView xWindow="-120" yWindow="-120" windowWidth="29040" windowHeight="15840" tabRatio="500" firstSheet="1" xr2:uid="{00000000-000D-0000-FFFF-FFFF00000000}"/>
  </bookViews>
  <sheets>
    <sheet name="Sommaire" sheetId="9" r:id="rId1"/>
    <sheet name="Assurance Qualité" sheetId="6" r:id="rId2"/>
    <sheet name="Fonctionnalités" sheetId="8" r:id="rId3"/>
    <sheet name="Documents" sheetId="10" r:id="rId4"/>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5" i="10" l="1"/>
  <c r="D25" i="8"/>
  <c r="B14" i="10"/>
  <c r="F49" i="6"/>
  <c r="C18" i="6"/>
  <c r="E8" i="8"/>
  <c r="E9" i="8"/>
  <c r="E10" i="8"/>
  <c r="E11" i="8"/>
  <c r="E12" i="8"/>
  <c r="E13" i="8"/>
  <c r="J44" i="6"/>
  <c r="E14" i="10"/>
  <c r="E16" i="10" s="1"/>
  <c r="H5" i="9" s="1"/>
  <c r="B15" i="10"/>
  <c r="B16" i="10"/>
  <c r="H4" i="9" s="1"/>
  <c r="G44" i="6"/>
  <c r="D38" i="8"/>
  <c r="J41" i="6"/>
  <c r="J42" i="6"/>
  <c r="J43" i="6"/>
  <c r="J45" i="6"/>
  <c r="J46" i="6"/>
  <c r="J47" i="6"/>
  <c r="J48" i="6"/>
  <c r="J40" i="6"/>
  <c r="G41" i="6"/>
  <c r="G42" i="6"/>
  <c r="G43" i="6"/>
  <c r="G45" i="6"/>
  <c r="G46" i="6"/>
  <c r="G47" i="6"/>
  <c r="G48" i="6"/>
  <c r="G40" i="6"/>
  <c r="J30" i="6"/>
  <c r="J31" i="6"/>
  <c r="J29" i="6"/>
  <c r="G30" i="6"/>
  <c r="G31" i="6"/>
  <c r="G29" i="6"/>
  <c r="G14" i="6"/>
  <c r="J14" i="6" s="1"/>
  <c r="G15" i="6"/>
  <c r="J15" i="6" s="1"/>
  <c r="G16" i="6"/>
  <c r="J16" i="6" s="1"/>
  <c r="G17" i="6"/>
  <c r="J17" i="6" s="1"/>
  <c r="G13" i="6"/>
  <c r="J13" i="6" s="1"/>
  <c r="C56" i="6"/>
  <c r="E42" i="8"/>
  <c r="E41" i="8"/>
  <c r="E40" i="8"/>
  <c r="E29" i="8"/>
  <c r="E28" i="8"/>
  <c r="E27" i="8"/>
  <c r="E17" i="8"/>
  <c r="E16" i="8"/>
  <c r="J11" i="6"/>
  <c r="I11" i="6"/>
  <c r="G11" i="6"/>
  <c r="F11" i="6"/>
  <c r="D11" i="6"/>
  <c r="C11" i="6"/>
  <c r="D18" i="6"/>
  <c r="F18" i="6"/>
  <c r="G18" i="6"/>
  <c r="I18" i="6"/>
  <c r="J18" i="6"/>
  <c r="C22" i="6"/>
  <c r="D22" i="6"/>
  <c r="F22" i="6"/>
  <c r="G22" i="6"/>
  <c r="I22" i="6"/>
  <c r="J22" i="6"/>
  <c r="C27" i="6"/>
  <c r="D27" i="6"/>
  <c r="F27" i="6"/>
  <c r="G27" i="6"/>
  <c r="I27" i="6"/>
  <c r="J27" i="6"/>
  <c r="C32" i="6"/>
  <c r="D32" i="6"/>
  <c r="F32" i="6"/>
  <c r="G32" i="6"/>
  <c r="I32" i="6"/>
  <c r="J32" i="6"/>
  <c r="C38" i="6"/>
  <c r="D38" i="6"/>
  <c r="F38" i="6"/>
  <c r="G38" i="6"/>
  <c r="I38" i="6"/>
  <c r="J38" i="6"/>
  <c r="C49" i="6"/>
  <c r="D49" i="6"/>
  <c r="G49" i="6"/>
  <c r="I49" i="6"/>
  <c r="J49" i="6"/>
  <c r="D56" i="6"/>
  <c r="F56" i="6"/>
  <c r="G56" i="6"/>
  <c r="I56" i="6"/>
  <c r="J56" i="6"/>
  <c r="E37" i="8"/>
  <c r="E21" i="8"/>
  <c r="E22" i="8"/>
  <c r="E23" i="8"/>
  <c r="E24" i="8"/>
  <c r="D58" i="6" l="1"/>
  <c r="G58" i="6"/>
  <c r="F58" i="6"/>
  <c r="F59" i="6" s="1"/>
  <c r="C5" i="9" s="1"/>
  <c r="C58" i="6"/>
  <c r="C59" i="6" s="1"/>
  <c r="C4" i="9" s="1"/>
  <c r="I58" i="6"/>
  <c r="J58" i="6"/>
  <c r="G7" i="9"/>
  <c r="I59" i="6" l="1"/>
  <c r="C6" i="9" s="1"/>
  <c r="D14" i="8" l="1"/>
  <c r="E20" i="8"/>
  <c r="E25" i="8" s="1"/>
  <c r="E32" i="8"/>
  <c r="E33" i="8"/>
  <c r="E34" i="8"/>
  <c r="E35" i="8"/>
  <c r="E36" i="8"/>
  <c r="E38" i="8" l="1"/>
  <c r="E14" i="8"/>
  <c r="B4" i="9"/>
  <c r="D4" i="9" s="1"/>
  <c r="B6" i="9"/>
  <c r="B5" i="9"/>
  <c r="D6" i="9" l="1"/>
  <c r="G6" i="9" s="1"/>
  <c r="D5" i="9"/>
  <c r="G5" i="9" s="1"/>
  <c r="G4" i="9"/>
</calcChain>
</file>

<file path=xl/sharedStrings.xml><?xml version="1.0" encoding="utf-8"?>
<sst xmlns="http://schemas.openxmlformats.org/spreadsheetml/2006/main" count="361" uniqueCount="195">
  <si>
    <t>Fonct.</t>
  </si>
  <si>
    <t>A.Q</t>
  </si>
  <si>
    <t>Total</t>
  </si>
  <si>
    <t>Heures de retard
(-10%)/heure</t>
  </si>
  <si>
    <t>Poids</t>
  </si>
  <si>
    <t>Note pondérée</t>
  </si>
  <si>
    <t>Documents</t>
  </si>
  <si>
    <t>Sprint 1</t>
  </si>
  <si>
    <t>Sprint 2</t>
  </si>
  <si>
    <t>Sprint 3</t>
  </si>
  <si>
    <t>UX</t>
  </si>
  <si>
    <t>Grille de correction LOG2990</t>
  </si>
  <si>
    <t>Assurance Qualité</t>
  </si>
  <si>
    <t>Critère</t>
  </si>
  <si>
    <t>Description</t>
  </si>
  <si>
    <t>Note</t>
  </si>
  <si>
    <t>Commentaires</t>
  </si>
  <si>
    <t>1. Projet</t>
  </si>
  <si>
    <t>Correcteur</t>
  </si>
  <si>
    <t>Marc-Olivier</t>
  </si>
  <si>
    <t>1.1 Utilisation des Cadriciels</t>
  </si>
  <si>
    <t>Le projet respecte les meilleures pratiques des cadriciels utilisés. (Exemple: séparation des responsabilités dans les Components et Services d'Angular, respect de la sémantique HTTP avec Express, etc.)</t>
  </si>
  <si>
    <t>Vous ne devriez pas utiliser document.
modifyGameVisibility :isVisible inutile
Vous ne devriez pas mettre de balise &lt;html&gt; dans vos component</t>
  </si>
  <si>
    <t>Vous ne devriez pas utiliser document.</t>
  </si>
  <si>
    <t>Vous ne respectez pas la séparation des responsabilités (patron MVC). ORganiserPageComponet et PlayAreaComponent font beaucoup de chose qui aurait du être délégué a un service</t>
  </si>
  <si>
    <t>1.2 Arborescence</t>
  </si>
  <si>
    <t>Le projet respecte une arborescence de fichier claire,uniforme et structurée.
Les noms de fichiers et dossiers respectent le format kebab-case.</t>
  </si>
  <si>
    <t>Bon travail!</t>
  </si>
  <si>
    <t>Sous-total</t>
  </si>
  <si>
    <t>2. Classe</t>
  </si>
  <si>
    <t>2.1 Responsabilité</t>
  </si>
  <si>
    <t>La classe n'a qu'une responsabilitée.</t>
  </si>
  <si>
    <t>PlayAreaComponent trop de responsabilités
PlayGateway trop de responsabilités</t>
  </si>
  <si>
    <t>Même problème</t>
  </si>
  <si>
    <t>2.2 Attributs</t>
  </si>
  <si>
    <t>La classe comporte uniquement des attributs utilisés.
La classe comporte uniquement des attributs qui sont des états de la classe.
La classe ne comporte pas d'attribut utilisé seulement dans les tests.</t>
  </si>
  <si>
    <t>Bon travail</t>
  </si>
  <si>
    <t>2.3 Accessibilité</t>
  </si>
  <si>
    <t>La classe minimise l'accessibilité des membres. (Bonne utilisation de public/private/protected pour les attributs et les fonctions)
Les méthodes get/set font une validation quelconque sur les attributs privés.</t>
  </si>
  <si>
    <t>Aucune gestion</t>
  </si>
  <si>
    <t>2.4 Couplage</t>
  </si>
  <si>
    <t>La classe minimise le couplage aux autres classes.
La classe minimise les longues chaînes d'appels (ex : foo.bar.baz.foo)</t>
  </si>
  <si>
    <t>OrganiserPageComponent beaucoup trop de couplage</t>
  </si>
  <si>
    <t>2.5 Valeur par défaut</t>
  </si>
  <si>
    <t>La classe initialise tous ses attributs de la même façon. Soit à la définition, soit dans le constructeur.</t>
  </si>
  <si>
    <t>3. Fonctions et méthodes</t>
  </si>
  <si>
    <t>3.1 Utilité</t>
  </si>
  <si>
    <t>La fonction est utilie et non-triviale.
La fonction ne peut pas être fragmenté en plusieurs fonctions.
La fonction n'a pas une longueur trop grande.</t>
  </si>
  <si>
    <t>submitGame, validateQuestion trop complexe</t>
  </si>
  <si>
    <t>sendTimer trop de param</t>
  </si>
  <si>
    <t>3.2 Paramètres</t>
  </si>
  <si>
    <t>La fonction possède le moins de paramètres possibles en entrée.
La fonction possède uniquement des paramètres d'entrée qui sont utilisés.</t>
  </si>
  <si>
    <t>submitGame(_newGame)</t>
  </si>
  <si>
    <t>4. Gestion des ressources et erreurs</t>
  </si>
  <si>
    <t>Augustin</t>
  </si>
  <si>
    <t>4.1 Console</t>
  </si>
  <si>
    <t>La console ne génère pas de message d'avertissement (warning) ou d'erreur (error) qui aurait pu être gérés par le programme.</t>
  </si>
  <si>
    <t>4.2 Code asynchrone</t>
  </si>
  <si>
    <t>Le code asynchrone (Promise, Observable, Event) est géré adéquatement.</t>
  </si>
  <si>
    <t>Les fonctions faisant des appels réseaux ou leur parents devraient être asynchrones. Les parents devraient s'assurer d'attendre la résolution des appels réseaux</t>
  </si>
  <si>
    <t>4.3 Message d'erreur</t>
  </si>
  <si>
    <t>Le message d'erreur est précis et compréhensible par l'utilisateur moyen.</t>
  </si>
  <si>
    <t>5. Variables et constantes</t>
  </si>
  <si>
    <t>Antonin</t>
  </si>
  <si>
    <t>5.1 Groupement</t>
  </si>
  <si>
    <t>Les constantes sont regroupées ensemble en groupes logiques.</t>
  </si>
  <si>
    <t xml:space="preserve">-0.25  9,1: const MAX_NUMBER_OF_CHOICES = 4;
-0.25  10,1: const INITIAL_VALUE_SLIDER = 10;
-0.25  6,1: const MIN_NUMBER_OF_CHOICES = 2;
</t>
  </si>
  <si>
    <t>5.2 Environnement</t>
  </si>
  <si>
    <t>Des variables d'environnements sont utilisées lorsque possible.</t>
  </si>
  <si>
    <t>5.3 Contexte d'utilisation</t>
  </si>
  <si>
    <t>La constante est utilisé dans un contexte lié à la logique d'affaire. (Exemple d'erreur: const DEUX = 2,  bonne utilisation: WAIT_TIME = 5000 )</t>
  </si>
  <si>
    <t>-0.25 74,13:const a = document.createElement('a');</t>
  </si>
  <si>
    <t>6. Expressions booléennes</t>
  </si>
  <si>
    <t>6.1 Expression</t>
  </si>
  <si>
    <t>L'expression booléenne n'est pas comparée à true ou false. (Exemple d'erreur: x === true)</t>
  </si>
  <si>
    <t>client/src/app/components/play-area/play-area.component.ts L67
client/src/app/services/qcm-validation-service/qcm-validation.service.ts L16</t>
  </si>
  <si>
    <t>6.2 Logique négative</t>
  </si>
  <si>
    <t>L'expression booléenne évite la logique négative. (Exemple d'erreur:  if( !notFound(…) )</t>
  </si>
  <si>
    <t>6.3 Ternaire</t>
  </si>
  <si>
    <t>L'expression booléenne utilise un ternaire dans le bon scénario.</t>
  </si>
  <si>
    <t>client/src/app/components/play-area/play-area.component.ts L78 - 82</t>
  </si>
  <si>
    <t>client/src/app/components/play-area/play-area.component.ts L208
client/src/app/pages/test-game-page/test-game-page.component.ts L74</t>
  </si>
  <si>
    <t>6.4 Prédicats</t>
  </si>
  <si>
    <t>L'expression booléenne est simple.
L'expression booléenne utilise un ou des prédicats pour simplifier une condition complexe.</t>
  </si>
  <si>
    <t>client/src/app/pages/create-game-page/create-game-page.component.ts L96 else inutile
client/src/app/services/keyboard-service/keyboard.service.ts L34</t>
  </si>
  <si>
    <t>7. Qualité générale</t>
  </si>
  <si>
    <t>Karim</t>
  </si>
  <si>
    <t>7.1 Langue</t>
  </si>
  <si>
    <t>La langue utilisée pour les variables, classes et fonctions est uniforme pour tout le code source.
La langue utilisée pour les commentaires doit être uniforme, mais peut être différente que la langue du code source.</t>
  </si>
  <si>
    <t>Bravo!</t>
  </si>
  <si>
    <t>7.2 Commentaire</t>
  </si>
  <si>
    <t>Le commentaire est pertinent. (Pas de code mort commenté)</t>
  </si>
  <si>
    <t>Plusieurs services et controlleurs commentés:
LOG2990-209/server/app/controllers/password/password.controller.ts
LOG2990-209/server/app/controllers/game/game.controller.ts
LOG2990-209/server/app/services/game/game.service.ts
LOG2990-209/server/app/services/password/password.service.ts</t>
  </si>
  <si>
    <t>server\app\services\password\password.service.ts
  44,5:     //     async addPassword(password: CreatePasswordDto): Promise&lt;void&gt; {
  45,5:     //         await this.passwordModel.create(password);
  46,5:     //     }
  48,5:     //     async modifyPassword(password: UpdatePasswordDto): Promise&lt;void&gt; {
  49,5:     //         const filterQuery = { password: password.password };
  50,5:     //         try {
  51,5:     //             const res = await this.passwordModel.updateOne(filterQuery, password);
  52,5:     //             if (res.matchedCount === 0) {
  53,5:     //                 return Promise.reject('Could not find password');
  54,5:     //             }
  55,5:     //         } catch (error) {
  56,5:     //             return Promise.reject(`Failed to update document: ${error}`);
  57,5:     //         }
  58,5:     //     }
  59,5:     //</t>
  </si>
  <si>
    <t>7.3 Enum</t>
  </si>
  <si>
    <t>Le code utilise des enum lorsque c'est pertinent.</t>
  </si>
  <si>
    <t>7.4 Classe et interface</t>
  </si>
  <si>
    <t>Le code n'utilise pas d'objets anonymes JS et priorise les classes et les interfaces.</t>
  </si>
  <si>
    <t>server/app/gateways/chat/chat.gateway.ts
23,16:         return { isValid: word?.length &gt; WORD_MIN_LENGTH };</t>
  </si>
  <si>
    <t>client\src\app\interfaces\question.ts
  5,14:     choices: { text: string; isCorrect: boolean }[];</t>
  </si>
  <si>
    <t>7.5 Duplication</t>
  </si>
  <si>
    <t>Il n'y a pas de duplication de code.</t>
  </si>
  <si>
    <t xml:space="preserve"> 
- Peut etre mis dans une constante client/src/app/pages/create-qcm-page/create-qcm-page.component.ts [77:13 - 92:2] (15 lines, 174 tokens)
client/src/app/pages/create-qcm-page/create-qcm-page.component.ts [51:17 - 66:2]</t>
  </si>
  <si>
    <t>client\src\app\pages\organiser-waiting-view-page\organiser-waiting-view-page.component.ts [57:2 - 62:13] (5 lines, 83 tokens)
client\src\app\pages\waiting-view-page\waiting-view-page.component.ts [52:9 - 57:8]  
client\src\app\pages\organiser-page\organiser-page.component.ts [103:12 - 110:2] (7 lines, 76 tokens)
client\src\app\pages\results-page\results-page.component.ts [18:8 - 26:9]
client\src\app\components\play-area\play-area.component.ts [126:28 - 139:12] (13 lines, 125 tokens)
client\src\app\pages\organiser-page\organiser-page.component.ts [154:37 - 167:24] ...</t>
  </si>
  <si>
    <t>client\src\app\pages\organiser-page\organiser-page.component.ts (Line 312:10 - Line 322:6), client\src\app\pages\organiser-page\organiser-page.component.ts (Line 296:2 - Line 305:3)
client\src\app\pages\admin-page\admin-page.component.ts (Line 173:13 - Line 180:6), client\src\app\pages\admin-page\admin-page.component.ts (Line 164:9 - Line 170:7)
GetGame
client\src\app\components\play-area\play-area.component.ts (Line 128:18 - Line 139:2), client\src\app\pages\organiser-page\organiser-page.component.ts (Line 137:10 - Line 148:5)
client\src\app\components\play-area\play-area.component.ts (Line 251:9 - Line 264:19), client\src\app\pages\test-game-page\test-game-page.component.ts (Line 135:9 - Line 149:18)</t>
  </si>
  <si>
    <t>7.6 ESLint</t>
  </si>
  <si>
    <t>Il n'y a pas de "eslint:disable" non justifiés dans le code.
L'utilisation limitée de eslint:disable est tolérée dans les fichiers de test (.spec.ts). (Exemple : nombres magiques)</t>
  </si>
  <si>
    <t>Client:
✖ 35 problems (35 errors, 0 warnings)
  25 errors and 0 warnings potentially fixable with the `--fix` option.</t>
  </si>
  <si>
    <t>7.7 Complexité</t>
  </si>
  <si>
    <t>Le code minimise la complexité cyclomatique. (Exemple : plusieurs if/else ou boucles for imbriqués, opérations complexes, etc.)</t>
  </si>
  <si>
    <t>7.7 Nomenclature des variables, classes et méthodes</t>
  </si>
  <si>
    <t>Les noms des variables, classes et méthodes sont précis et clairs.
Les noms respectent un format unique:  camelCase pour les variables et méthodes, SCREAMING_SNAKE_CASE pour les constantes, etc .
Les noms ne sont pas troncés excessivement. (Exemple: utiliser background au lieu de seulement bg).</t>
  </si>
  <si>
    <t>7.8 Performance</t>
  </si>
  <si>
    <t>Le logiciel a une performance acceptable.</t>
  </si>
  <si>
    <t>Plusieurs bugs</t>
  </si>
  <si>
    <t>8. Gestion de versions</t>
  </si>
  <si>
    <t>8.1 TAG</t>
  </si>
  <si>
    <t>La branche de développement possède le bon tag. (sprint1, sprint2, sprint3)</t>
  </si>
  <si>
    <t>8.2 Commit</t>
  </si>
  <si>
    <t>Le commit a un message pertinent et descriptif.</t>
  </si>
  <si>
    <t>-0,5 mélange d'anglais et de français (testPage corrigé 09557754a274c7d14749d1a012b11ea3c18469a8, done tests c95354f436cd2ef1d586f1ee8750842ab4209d81)
-0,5 commit implicite (test edb2025bc2b866ec16c246496c9e0182d31d9f73, 
optimiste c3437361c5dd46aa6c546916f9b00d490f8550c4)</t>
  </si>
  <si>
    <t>8.3 Branches mortes</t>
  </si>
  <si>
    <t xml:space="preserve">Le projet ne contient pas de branches mortes (stale branch). Une branche est considérée comme morte si elle n'a pas de commit pendant plus de 3 semaines. </t>
  </si>
  <si>
    <t>8.4 Gitlab</t>
  </si>
  <si>
    <t>Des Merge Requests sont utilisées pour fusionner vers la branche de production.
Les Merge Requests sont approuvées par au moins un membre de l'équipe avant la fusion.
Les Issues sont mis à jour tout au long du projet.</t>
  </si>
  <si>
    <t xml:space="preserve">-0.25 les MR fusionnées ne sont pas toutes approuvées
-0.25 certains issues du sprint ne sont pas attribués </t>
  </si>
  <si>
    <t>-0.25 les MR fusionnées ne sont pas toutes approuvées (!40, !32)</t>
  </si>
  <si>
    <t>8.5 Fichiers</t>
  </si>
  <si>
    <t>Le projet contient uniquement les fichiers nécessaires. (Exemple: pas de dossier node_modules ou coverage).</t>
  </si>
  <si>
    <t>-0.25 package.json à la racine du projet</t>
  </si>
  <si>
    <t>-0.5 package.json à la racine du projet, augmentation de la pénalité car erreur présente au sprint1</t>
  </si>
  <si>
    <t>Total QA sprint</t>
  </si>
  <si>
    <t>Note QA sprint</t>
  </si>
  <si>
    <t>Fonctionnalités</t>
  </si>
  <si>
    <t>Fonctionnalité</t>
  </si>
  <si>
    <t>Testé</t>
  </si>
  <si>
    <t>Note finale</t>
  </si>
  <si>
    <t>Vue initiale</t>
  </si>
  <si>
    <t>MOD-AS</t>
  </si>
  <si>
    <t>Vue d'administration</t>
  </si>
  <si>
    <t>Plein de test game qui n'existent pas vraiment
Erreur lors de l'importation
Supprimer un jeu ne fonctionne pas
Changer la visibilité instable
Modification de jeu donne la même vue que création d'un jeu
Modifier un jeu ne fonctionne pas
Aucune rétroaction lors de la validation d'un json
Deux boutons de visibilités</t>
  </si>
  <si>
    <t>Vue de création d'une partie</t>
  </si>
  <si>
    <t>Vue de jeu du joueur</t>
  </si>
  <si>
    <t>Impossible de choisir le choix par le clavier
Compte à rebours ne fonctionne pas</t>
  </si>
  <si>
    <t>Création d'un jeu-questionnaire (QCM)</t>
  </si>
  <si>
    <t>Pas de rétroaction quand jeu créé
Quand on crée une partie, un questionnaire est créé par question</t>
  </si>
  <si>
    <t>Tester le jeu</t>
  </si>
  <si>
    <t>Impossible de passer d'une question à l'autre (on peut seulement jouer avec la première question)
TestGamePageComponent pas testée</t>
  </si>
  <si>
    <t>Note finale pour le sprint</t>
  </si>
  <si>
    <t>Pénalités</t>
  </si>
  <si>
    <t>Crash</t>
  </si>
  <si>
    <t>Erreurs rouges dans la console + Erreurs bleues quand on lance les tests</t>
  </si>
  <si>
    <t>Erreur de build</t>
  </si>
  <si>
    <t>Joindre une partie</t>
  </si>
  <si>
    <t>Ok</t>
  </si>
  <si>
    <t>Vue d'attente des joueurs</t>
  </si>
  <si>
    <t>On peut bannir plusieurs fois le même joueur</t>
  </si>
  <si>
    <t>Vue de jeu de l'organisateur</t>
  </si>
  <si>
    <t>Partie de jeu-questionnaire (QCM)</t>
  </si>
  <si>
    <t>Abandonner avec le fureteur ne fonctionne pas</t>
  </si>
  <si>
    <t>Clavardage</t>
  </si>
  <si>
    <t>Les tests du client ne devrait pas demander le lancement du serveur</t>
  </si>
  <si>
    <t>Erreur de build  / déploiement erroné</t>
  </si>
  <si>
    <t>Anciennes fonctionnalités brisées</t>
  </si>
  <si>
    <t>Création d'un jeu-questionnaire (QRL)</t>
  </si>
  <si>
    <t>Points obtenus accepter hors intervalle [10,100]</t>
  </si>
  <si>
    <t>Partie de jeu-questionnaire (QRL)</t>
  </si>
  <si>
    <t>Compte à rebours intéractif</t>
  </si>
  <si>
    <t>Liste des joueurs intéractive</t>
  </si>
  <si>
    <t>Vue des résultats</t>
  </si>
  <si>
    <t>Vous avez inverser ordre croissant decroissant</t>
  </si>
  <si>
    <t>Historique</t>
  </si>
  <si>
    <t>Erreur de build / déploiement erroné</t>
  </si>
  <si>
    <t>Document d'Architecture</t>
  </si>
  <si>
    <t>Protocole de communication</t>
  </si>
  <si>
    <t>Historique des révisions</t>
  </si>
  <si>
    <t>1 Introduction /1</t>
  </si>
  <si>
    <t>Correct</t>
  </si>
  <si>
    <t>Bien</t>
  </si>
  <si>
    <t>2 Vue des cas d'utilisation /8</t>
  </si>
  <si>
    <t>2 Communication client-serveur /7</t>
  </si>
  <si>
    <t>Figure 2:
Fausses liens entre les acteurs et les cas d'utilisations. Ne doivent pas être des flêches.
Figure 3: 
Il faut avoir un seul acteur.
Les relations de généralisations ne sont pas convenables dans ce cas.
Il faut utiliser que des verbes d'action.
Les lignes entre les acteurs et les cas d'utilisations ne doivent pas etre des flêches.
Erreurs généraux:
Les types de fleches utilisés ne sont pas bons. (fausses relations entres les cas d'utilisations).
Il doit avoir toujours des verbes d'action.</t>
  </si>
  <si>
    <t>La justification de l'utilisation des websockets n'est pas claire. On les utilise à cause de leur caractère bidirectionnel</t>
  </si>
  <si>
    <t>3 Vue des processus /8</t>
  </si>
  <si>
    <t>3 Description des paquets /12</t>
  </si>
  <si>
    <t>Figure 7:
Une action d'acteur doit déclancher le processus.
Pas de nom de diagramme dans le grand bloc.
Plusieurs scénarios différents qui doivent etre séparés par des blocs.
ChangeVisibility ne fait pas de changement dans le client?
Acteur n'a pas un temps de vie.
Temps de vies doivent dépendre des actions et des scénarios et ne sont pas toujours infinies.
ِCeci s'applique pour toutes les autres figures.</t>
  </si>
  <si>
    <t>La route "Importer un fichier .JSON." n'est pas très claire. Elle requiert un fichier ou une interface ?
Expliquer les cas dans lesquels le serveur retourne une erreur
Ce n'est pas très utile de specifier les "Événements Potentiellement déclenchés"  si vous n'expliquez pas les circonstances
Plusieurs /GET sur la même route
La case donnée n'est pas claire. Elle ne spécifie pas de données mais plus tôt des types</t>
  </si>
  <si>
    <t>4 Vue de déploiement /3</t>
  </si>
  <si>
    <t>Auncun déploiement n'est fait sur le personnage client. Il ne devrait pas faire partie de ce diagramme
Vous devez bien faire la distinction entre le serveur statique (GitLab Pages) et le serveur dynamique (hébergé sur AWS). L'un n'est pas une cache de l'autre
Vous n'avez pas besoin de mentionner les composants de bas niveaux comme les services. Idéalement limitez vous au détail concernant à la machine, le serveur/service déployé, l'environnement d'exécution (si connu et application) et les différentes interactions entre ces services</t>
  </si>
  <si>
    <t>Forme /1</t>
  </si>
  <si>
    <t>Les titres et les légendes doivent se trouver en bas de l'image
La table de matière doit être sur une page séparée</t>
  </si>
  <si>
    <t>Aucun titre de tableau</t>
  </si>
  <si>
    <t>FOND (90%)</t>
  </si>
  <si>
    <t>FORME (10%)</t>
  </si>
  <si>
    <t>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</si>
</sst>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rgb="FF000000"/>
      <name val="Calibri"/>
      <family val="2"/>
      <charset val="1"/>
    </font>
    <font>
      <sz val="11"/>
      <color theme="1"/>
      <name val="Calibri"/>
      <scheme val="minor"/>
    </font>
    <font>
      <sz val="11"/>
      <color rgb="FFFFFFFF"/>
      <name val="Calibri"/>
      <family val="2"/>
      <charset val="1"/>
    </font>
    <font>
      <b/>
      <sz val="14"/>
      <color rgb="FF000000"/>
      <name val="Calibri"/>
      <family val="2"/>
      <charset val="1"/>
    </font>
    <font>
      <sz val="11"/>
      <color rgb="FF000000"/>
      <name val="Calibri"/>
      <family val="2"/>
      <charset val="1"/>
    </font>
    <font>
      <b/>
      <sz val="14"/>
      <color rgb="FFFFFFFF"/>
      <name val="Calibri"/>
      <family val="2"/>
      <charset val="1"/>
    </font>
    <font>
      <b/>
      <sz val="14"/>
      <color theme="1"/>
      <name val="Calibri"/>
      <scheme val="minor"/>
    </font>
    <font>
      <b/>
      <sz val="18"/>
      <color theme="1"/>
      <name val="Calibri"/>
      <scheme val="minor"/>
    </font>
    <font>
      <b/>
      <sz val="11"/>
      <color rgb="FF3F3F3F"/>
      <name val="Calibri"/>
      <scheme val="minor"/>
    </font>
    <font>
      <b/>
      <sz val="16"/>
      <color rgb="FF000000"/>
      <name val="Calibri"/>
      <family val="2"/>
      <charset val="1"/>
    </font>
    <font>
      <sz val="14"/>
      <color rgb="FF000000"/>
      <name val="Calibri"/>
      <family val="2"/>
    </font>
    <font>
      <b/>
      <sz val="12"/>
      <color rgb="FF000000"/>
      <name val="Calibri"/>
      <family val="2"/>
    </font>
    <font>
      <sz val="14"/>
      <color rgb="FF000000"/>
      <name val="Calibri"/>
      <family val="2"/>
      <charset val="1"/>
    </font>
    <font>
      <b/>
      <sz val="12"/>
      <color rgb="FF000000"/>
      <name val="Calibri"/>
      <family val="2"/>
      <charset val="1"/>
    </font>
    <font>
      <sz val="11"/>
      <color rgb="FF000000"/>
      <name val="Calibri"/>
    </font>
    <font>
      <b/>
      <sz val="11"/>
      <color rgb="FF000000"/>
      <name val="Calibri"/>
    </font>
    <font>
      <b/>
      <sz val="11"/>
      <color theme="1"/>
      <name val="Calibri"/>
    </font>
    <font>
      <b/>
      <sz val="18"/>
      <color theme="1"/>
      <name val="Calibri"/>
    </font>
    <font>
      <b/>
      <sz val="12"/>
      <color theme="1"/>
      <name val="Calibri"/>
      <charset val="1"/>
    </font>
    <font>
      <sz val="10"/>
      <color theme="1"/>
      <name val="Arial"/>
      <charset val="1"/>
    </font>
    <font>
      <sz val="12"/>
      <color theme="1"/>
      <name val="Calibri"/>
      <charset val="1"/>
    </font>
    <font>
      <b/>
      <sz val="11"/>
      <color rgb="FF000000"/>
      <name val="Calibri"/>
      <family val="2"/>
      <charset val="1"/>
    </font>
    <font>
      <sz val="11"/>
      <color rgb="FF000000"/>
      <name val="Calibri"/>
      <charset val="1"/>
    </font>
  </fonts>
  <fills count="29">
    <fill>
      <patternFill patternType="none"/>
    </fill>
    <fill>
      <patternFill patternType="gray125"/>
    </fill>
    <fill>
      <patternFill patternType="solid">
        <fgColor rgb="FFF79646"/>
        <bgColor rgb="FFFF8080"/>
      </patternFill>
    </fill>
    <fill>
      <patternFill patternType="solid">
        <fgColor rgb="FFF2F2F2"/>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rgb="FFFFC000"/>
        <bgColor indexed="64"/>
      </patternFill>
    </fill>
    <fill>
      <patternFill patternType="solid">
        <fgColor theme="9" tint="0.79998168889431442"/>
        <bgColor rgb="FFCCC1DA"/>
      </patternFill>
    </fill>
    <fill>
      <patternFill patternType="solid">
        <fgColor theme="7" tint="0.79998168889431442"/>
        <bgColor rgb="FFCCC1DA"/>
      </patternFill>
    </fill>
    <fill>
      <patternFill patternType="solid">
        <fgColor theme="4" tint="0.79998168889431442"/>
        <bgColor rgb="FFB9CDE5"/>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rgb="FFB9CDE5"/>
      </patternFill>
    </fill>
    <fill>
      <patternFill patternType="solid">
        <fgColor theme="8" tint="0.79998168889431442"/>
        <bgColor indexed="64"/>
      </patternFill>
    </fill>
    <fill>
      <patternFill patternType="solid">
        <fgColor theme="8" tint="0.79998168889431442"/>
        <bgColor rgb="FFCCC1DA"/>
      </patternFill>
    </fill>
    <fill>
      <patternFill patternType="solid">
        <fgColor theme="6" tint="0.79998168889431442"/>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E2EFDA"/>
        <bgColor indexed="64"/>
      </patternFill>
    </fill>
    <fill>
      <patternFill patternType="solid">
        <fgColor rgb="FFFFF2CC"/>
        <bgColor indexed="64"/>
      </patternFill>
    </fill>
    <fill>
      <patternFill patternType="solid">
        <fgColor rgb="FFB4C6E7"/>
        <bgColor indexed="64"/>
      </patternFill>
    </fill>
    <fill>
      <patternFill patternType="solid">
        <fgColor rgb="FFE7E6E6"/>
        <bgColor indexed="64"/>
      </patternFill>
    </fill>
    <fill>
      <patternFill patternType="solid">
        <fgColor rgb="FFD9D9D9"/>
        <bgColor indexed="64"/>
      </patternFill>
    </fill>
    <fill>
      <patternFill patternType="solid">
        <fgColor rgb="FFCCCCCC"/>
        <bgColor indexed="64"/>
      </patternFill>
    </fill>
    <fill>
      <patternFill patternType="solid">
        <fgColor rgb="FFF3F3F3"/>
        <bgColor indexed="64"/>
      </patternFill>
    </fill>
    <fill>
      <patternFill patternType="solid">
        <fgColor rgb="FFFFFFFF"/>
        <bgColor indexed="64"/>
      </patternFill>
    </fill>
  </fills>
  <borders count="59">
    <border>
      <left/>
      <right/>
      <top/>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style="medium">
        <color auto="1"/>
      </top>
      <bottom/>
      <diagonal/>
    </border>
    <border>
      <left style="medium">
        <color auto="1"/>
      </left>
      <right/>
      <top style="medium">
        <color auto="1"/>
      </top>
      <bottom style="medium">
        <color auto="1"/>
      </bottom>
      <diagonal/>
    </border>
    <border>
      <left style="medium">
        <color auto="1"/>
      </left>
      <right/>
      <top style="medium">
        <color auto="1"/>
      </top>
      <bottom style="thin">
        <color auto="1"/>
      </bottom>
      <diagonal/>
    </border>
    <border>
      <left style="medium">
        <color auto="1"/>
      </left>
      <right/>
      <top style="thin">
        <color auto="1"/>
      </top>
      <bottom/>
      <diagonal/>
    </border>
    <border>
      <left style="medium">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diagonal/>
    </border>
    <border>
      <left style="thin">
        <color auto="1"/>
      </left>
      <right/>
      <top style="thin">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medium">
        <color auto="1"/>
      </bottom>
      <diagonal/>
    </border>
    <border>
      <left style="thin">
        <color auto="1"/>
      </left>
      <right style="medium">
        <color auto="1"/>
      </right>
      <top style="medium">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indexed="64"/>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auto="1"/>
      </left>
      <right style="thin">
        <color auto="1"/>
      </right>
      <top style="thin">
        <color auto="1"/>
      </top>
      <bottom style="medium">
        <color auto="1"/>
      </bottom>
      <diagonal/>
    </border>
    <border>
      <left style="thin">
        <color rgb="FF3F3F3F"/>
      </left>
      <right style="thin">
        <color rgb="FF3F3F3F"/>
      </right>
      <top style="thin">
        <color rgb="FF3F3F3F"/>
      </top>
      <bottom style="thin">
        <color rgb="FF3F3F3F"/>
      </bottom>
      <diagonal/>
    </border>
    <border>
      <left/>
      <right/>
      <top/>
      <bottom style="thin">
        <color auto="1"/>
      </bottom>
      <diagonal/>
    </border>
    <border>
      <left/>
      <right/>
      <top style="thin">
        <color auto="1"/>
      </top>
      <bottom/>
      <diagonal/>
    </border>
    <border>
      <left/>
      <right/>
      <top style="thin">
        <color auto="1"/>
      </top>
      <bottom style="medium">
        <color auto="1"/>
      </bottom>
      <diagonal/>
    </border>
    <border>
      <left/>
      <right/>
      <top/>
      <bottom style="medium">
        <color auto="1"/>
      </bottom>
      <diagonal/>
    </border>
    <border>
      <left/>
      <right/>
      <top style="medium">
        <color auto="1"/>
      </top>
      <bottom style="thin">
        <color auto="1"/>
      </bottom>
      <diagonal/>
    </border>
    <border>
      <left/>
      <right/>
      <top style="thin">
        <color auto="1"/>
      </top>
      <bottom style="thin">
        <color auto="1"/>
      </bottom>
      <diagonal/>
    </border>
    <border>
      <left/>
      <right style="medium">
        <color auto="1"/>
      </right>
      <top style="thin">
        <color auto="1"/>
      </top>
      <bottom/>
      <diagonal/>
    </border>
    <border>
      <left style="medium">
        <color indexed="64"/>
      </left>
      <right style="thin">
        <color auto="1"/>
      </right>
      <top style="medium">
        <color indexed="64"/>
      </top>
      <bottom style="thin">
        <color auto="1"/>
      </bottom>
      <diagonal/>
    </border>
    <border>
      <left style="thin">
        <color indexed="64"/>
      </left>
      <right/>
      <top style="medium">
        <color indexed="64"/>
      </top>
      <bottom style="thin">
        <color indexed="64"/>
      </bottom>
      <diagonal/>
    </border>
    <border>
      <left/>
      <right style="medium">
        <color indexed="64"/>
      </right>
      <top style="thin">
        <color auto="1"/>
      </top>
      <bottom style="thin">
        <color auto="1"/>
      </bottom>
      <diagonal/>
    </border>
    <border>
      <left/>
      <right style="medium">
        <color indexed="64"/>
      </right>
      <top style="thin">
        <color auto="1"/>
      </top>
      <bottom style="medium">
        <color indexed="64"/>
      </bottom>
      <diagonal/>
    </border>
    <border>
      <left style="medium">
        <color auto="1"/>
      </left>
      <right/>
      <top/>
      <bottom style="thin">
        <color auto="1"/>
      </bottom>
      <diagonal/>
    </border>
    <border>
      <left/>
      <right style="medium">
        <color indexed="64"/>
      </right>
      <top/>
      <bottom style="thin">
        <color auto="1"/>
      </bottom>
      <diagonal/>
    </border>
    <border>
      <left/>
      <right style="medium">
        <color indexed="64"/>
      </right>
      <top style="medium">
        <color indexed="64"/>
      </top>
      <bottom style="thin">
        <color auto="1"/>
      </bottom>
      <diagonal/>
    </border>
    <border>
      <left/>
      <right style="medium">
        <color auto="1"/>
      </right>
      <top/>
      <bottom style="medium">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bottom style="thin">
        <color auto="1"/>
      </bottom>
      <diagonal/>
    </border>
    <border>
      <left/>
      <right style="medium">
        <color rgb="FF000000"/>
      </right>
      <top/>
      <bottom style="thin">
        <color auto="1"/>
      </bottom>
      <diagonal/>
    </border>
    <border>
      <left style="medium">
        <color rgb="FF000000"/>
      </left>
      <right/>
      <top style="thin">
        <color auto="1"/>
      </top>
      <bottom style="medium">
        <color rgb="FF000000"/>
      </bottom>
      <diagonal/>
    </border>
    <border>
      <left/>
      <right/>
      <top style="thin">
        <color auto="1"/>
      </top>
      <bottom style="medium">
        <color rgb="FF000000"/>
      </bottom>
      <diagonal/>
    </border>
    <border>
      <left/>
      <right style="medium">
        <color rgb="FF000000"/>
      </right>
      <top style="thin">
        <color auto="1"/>
      </top>
      <bottom style="medium">
        <color rgb="FF000000"/>
      </bottom>
      <diagonal/>
    </border>
    <border>
      <left style="medium">
        <color rgb="FF000000"/>
      </left>
      <right/>
      <top style="thin">
        <color auto="1"/>
      </top>
      <bottom style="thin">
        <color auto="1"/>
      </bottom>
      <diagonal/>
    </border>
    <border>
      <left/>
      <right style="medium">
        <color rgb="FF000000"/>
      </right>
      <top style="thin">
        <color auto="1"/>
      </top>
      <bottom style="thin">
        <color auto="1"/>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
      <left/>
      <right/>
      <top/>
      <bottom style="thin">
        <color rgb="FFCCCCCC"/>
      </bottom>
      <diagonal/>
    </border>
  </borders>
  <cellStyleXfs count="7">
    <xf numFmtId="0" fontId="0" fillId="0" borderId="0"/>
    <xf numFmtId="9" fontId="4" fillId="0" borderId="0" applyBorder="0" applyProtection="0"/>
    <xf numFmtId="0" fontId="2" fillId="2" borderId="0" applyBorder="0" applyProtection="0"/>
    <xf numFmtId="0" fontId="8" fillId="3" borderId="23" applyNumberFormat="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cellStyleXfs>
  <cellXfs count="286">
    <xf numFmtId="0" fontId="0" fillId="0" borderId="0" xfId="0"/>
    <xf numFmtId="0" fontId="0" fillId="0" borderId="0" xfId="0" applyAlignment="1">
      <alignment wrapText="1"/>
    </xf>
    <xf numFmtId="0" fontId="3" fillId="0" borderId="0" xfId="0" applyFont="1" applyAlignment="1">
      <alignment horizontal="center" vertical="center" wrapText="1"/>
    </xf>
    <xf numFmtId="0" fontId="5" fillId="0" borderId="0" xfId="0" applyFont="1" applyAlignment="1">
      <alignment vertical="center" wrapText="1"/>
    </xf>
    <xf numFmtId="0" fontId="3" fillId="0" borderId="0" xfId="0" applyFont="1" applyAlignment="1">
      <alignment vertical="center" wrapText="1"/>
    </xf>
    <xf numFmtId="0" fontId="0" fillId="0" borderId="0" xfId="0" applyAlignment="1">
      <alignment horizontal="center" vertical="center" wrapText="1"/>
    </xf>
    <xf numFmtId="49" fontId="0" fillId="0" borderId="0" xfId="0" applyNumberFormat="1" applyAlignment="1">
      <alignment horizontal="center" vertical="center" wrapText="1"/>
    </xf>
    <xf numFmtId="0" fontId="3" fillId="0" borderId="0" xfId="0" applyFont="1" applyAlignment="1">
      <alignment vertical="center"/>
    </xf>
    <xf numFmtId="0" fontId="3" fillId="0" borderId="0" xfId="0" applyFont="1"/>
    <xf numFmtId="0" fontId="9" fillId="0" borderId="0" xfId="0" applyFont="1"/>
    <xf numFmtId="0" fontId="0" fillId="0" borderId="0" xfId="0" applyAlignment="1">
      <alignment horizontal="left" wrapText="1"/>
    </xf>
    <xf numFmtId="0" fontId="3" fillId="0" borderId="2" xfId="0" applyFont="1" applyBorder="1" applyAlignment="1">
      <alignment horizontal="center" vertical="center" wrapText="1"/>
    </xf>
    <xf numFmtId="0" fontId="10" fillId="0" borderId="0" xfId="0" applyFont="1"/>
    <xf numFmtId="49" fontId="0" fillId="0" borderId="13" xfId="0" applyNumberFormat="1" applyBorder="1" applyAlignment="1">
      <alignment horizontal="left" vertical="center" wrapText="1"/>
    </xf>
    <xf numFmtId="0" fontId="3" fillId="8" borderId="21" xfId="0" applyFont="1" applyFill="1" applyBorder="1" applyAlignment="1">
      <alignment horizontal="center" vertical="center" wrapText="1"/>
    </xf>
    <xf numFmtId="0" fontId="3" fillId="8" borderId="22" xfId="0" applyFont="1" applyFill="1" applyBorder="1" applyAlignment="1">
      <alignment horizontal="center" vertical="center" wrapText="1"/>
    </xf>
    <xf numFmtId="0" fontId="3" fillId="9" borderId="21" xfId="0" applyFont="1" applyFill="1" applyBorder="1" applyAlignment="1">
      <alignment horizontal="center" vertical="center" wrapText="1"/>
    </xf>
    <xf numFmtId="0" fontId="3" fillId="9" borderId="22" xfId="0" applyFont="1" applyFill="1" applyBorder="1" applyAlignment="1">
      <alignment horizontal="center" vertical="center" wrapText="1"/>
    </xf>
    <xf numFmtId="0" fontId="3" fillId="13" borderId="21" xfId="0" applyFont="1" applyFill="1" applyBorder="1" applyAlignment="1">
      <alignment horizontal="center" vertical="center" wrapText="1"/>
    </xf>
    <xf numFmtId="0" fontId="3" fillId="13" borderId="22" xfId="0" applyFont="1" applyFill="1" applyBorder="1" applyAlignment="1">
      <alignment horizontal="center" vertical="center" wrapText="1"/>
    </xf>
    <xf numFmtId="0" fontId="3" fillId="9" borderId="15" xfId="0" applyFont="1" applyFill="1" applyBorder="1" applyAlignment="1">
      <alignment horizontal="left" vertical="center" wrapText="1"/>
    </xf>
    <xf numFmtId="0" fontId="3" fillId="8" borderId="15" xfId="0" applyFont="1" applyFill="1" applyBorder="1" applyAlignment="1">
      <alignment horizontal="left" vertical="center" wrapText="1"/>
    </xf>
    <xf numFmtId="0" fontId="3" fillId="13" borderId="11" xfId="0" applyFont="1" applyFill="1" applyBorder="1" applyAlignment="1">
      <alignment horizontal="left" vertical="center" wrapText="1"/>
    </xf>
    <xf numFmtId="49" fontId="0" fillId="0" borderId="29" xfId="0" applyNumberFormat="1" applyBorder="1" applyAlignment="1">
      <alignment horizontal="left" vertical="center" wrapText="1"/>
    </xf>
    <xf numFmtId="49" fontId="0" fillId="0" borderId="29" xfId="0" applyNumberFormat="1" applyBorder="1" applyAlignment="1">
      <alignment vertical="center" wrapText="1"/>
    </xf>
    <xf numFmtId="0" fontId="0" fillId="8" borderId="28" xfId="0" applyFill="1" applyBorder="1" applyAlignment="1">
      <alignment horizontal="center" vertical="center" wrapText="1"/>
    </xf>
    <xf numFmtId="0" fontId="0" fillId="8" borderId="37" xfId="0" applyFill="1" applyBorder="1" applyAlignment="1">
      <alignment horizontal="left" vertical="center" wrapText="1"/>
    </xf>
    <xf numFmtId="0" fontId="0" fillId="9" borderId="28" xfId="0" applyFill="1" applyBorder="1" applyAlignment="1">
      <alignment horizontal="center" vertical="center" wrapText="1"/>
    </xf>
    <xf numFmtId="0" fontId="0" fillId="9" borderId="37" xfId="0" applyFill="1" applyBorder="1" applyAlignment="1">
      <alignment horizontal="left" vertical="center" wrapText="1"/>
    </xf>
    <xf numFmtId="49" fontId="0" fillId="0" borderId="24" xfId="0" applyNumberFormat="1" applyBorder="1" applyAlignment="1">
      <alignment horizontal="left" vertical="center" wrapText="1"/>
    </xf>
    <xf numFmtId="0" fontId="11" fillId="0" borderId="0" xfId="0" applyFont="1"/>
    <xf numFmtId="49" fontId="0" fillId="0" borderId="24" xfId="0" applyNumberFormat="1" applyBorder="1" applyAlignment="1">
      <alignment vertical="center" wrapText="1"/>
    </xf>
    <xf numFmtId="0" fontId="0" fillId="10" borderId="28" xfId="0" applyFill="1" applyBorder="1" applyAlignment="1">
      <alignment horizontal="center" vertical="center" wrapText="1"/>
    </xf>
    <xf numFmtId="0" fontId="0" fillId="10" borderId="37" xfId="0" applyFill="1" applyBorder="1" applyAlignment="1">
      <alignment horizontal="left" vertical="center" wrapText="1"/>
    </xf>
    <xf numFmtId="49" fontId="0" fillId="8" borderId="8" xfId="0" applyNumberFormat="1" applyFill="1" applyBorder="1" applyAlignment="1">
      <alignment horizontal="center" vertical="center" wrapText="1"/>
    </xf>
    <xf numFmtId="49" fontId="0" fillId="9" borderId="8" xfId="0" applyNumberFormat="1" applyFill="1" applyBorder="1" applyAlignment="1">
      <alignment horizontal="center" vertical="center" wrapText="1"/>
    </xf>
    <xf numFmtId="0" fontId="6" fillId="0" borderId="0" xfId="0" applyFont="1" applyAlignment="1">
      <alignment horizontal="left" vertical="center"/>
    </xf>
    <xf numFmtId="0" fontId="0" fillId="0" borderId="0" xfId="0" applyAlignment="1">
      <alignment horizontal="left"/>
    </xf>
    <xf numFmtId="0" fontId="0" fillId="0" borderId="0" xfId="0" applyAlignment="1">
      <alignment horizontal="left" vertical="center"/>
    </xf>
    <xf numFmtId="2" fontId="0" fillId="0" borderId="0" xfId="0" applyNumberFormat="1" applyAlignment="1">
      <alignment horizontal="left" vertical="center"/>
    </xf>
    <xf numFmtId="0" fontId="0" fillId="0" borderId="0" xfId="0" applyAlignment="1">
      <alignment horizontal="center" vertical="center"/>
    </xf>
    <xf numFmtId="0" fontId="3" fillId="0" borderId="0" xfId="0" applyFont="1" applyAlignment="1">
      <alignment horizontal="left" vertical="center" wrapText="1"/>
    </xf>
    <xf numFmtId="49" fontId="0" fillId="0" borderId="28" xfId="0" applyNumberFormat="1" applyBorder="1" applyAlignment="1">
      <alignment horizontal="left" vertical="center" wrapText="1"/>
    </xf>
    <xf numFmtId="0" fontId="12" fillId="0" borderId="0" xfId="0" applyFont="1"/>
    <xf numFmtId="0" fontId="13" fillId="0" borderId="0" xfId="0" applyFont="1"/>
    <xf numFmtId="0" fontId="12" fillId="16" borderId="17" xfId="0" applyFont="1" applyFill="1" applyBorder="1" applyAlignment="1">
      <alignment horizontal="left" vertical="center" wrapText="1"/>
    </xf>
    <xf numFmtId="0" fontId="0" fillId="16" borderId="18" xfId="0" applyFill="1" applyBorder="1" applyAlignment="1">
      <alignment vertical="center" wrapText="1"/>
    </xf>
    <xf numFmtId="0" fontId="13" fillId="8" borderId="10" xfId="0" applyFont="1" applyFill="1" applyBorder="1" applyAlignment="1">
      <alignment horizontal="center" vertical="center" wrapText="1"/>
    </xf>
    <xf numFmtId="0" fontId="13" fillId="8" borderId="26" xfId="0" applyFont="1" applyFill="1" applyBorder="1" applyAlignment="1">
      <alignment horizontal="center" vertical="center" wrapText="1"/>
    </xf>
    <xf numFmtId="0" fontId="13" fillId="8" borderId="34" xfId="0" applyFont="1" applyFill="1" applyBorder="1" applyAlignment="1">
      <alignment horizontal="left" vertical="center" wrapText="1"/>
    </xf>
    <xf numFmtId="0" fontId="13" fillId="9" borderId="10" xfId="0" applyFont="1" applyFill="1" applyBorder="1" applyAlignment="1">
      <alignment horizontal="center" vertical="center" wrapText="1"/>
    </xf>
    <xf numFmtId="0" fontId="13" fillId="9" borderId="26" xfId="0" applyFont="1" applyFill="1" applyBorder="1" applyAlignment="1">
      <alignment horizontal="center" vertical="center" wrapText="1"/>
    </xf>
    <xf numFmtId="0" fontId="13" fillId="9" borderId="34" xfId="0" applyFont="1" applyFill="1" applyBorder="1" applyAlignment="1">
      <alignment horizontal="left" vertical="center" wrapText="1"/>
    </xf>
    <xf numFmtId="0" fontId="13" fillId="13" borderId="10" xfId="0" applyFont="1" applyFill="1" applyBorder="1" applyAlignment="1">
      <alignment horizontal="center" vertical="center" wrapText="1"/>
    </xf>
    <xf numFmtId="0" fontId="13" fillId="13" borderId="26" xfId="0" applyFont="1" applyFill="1" applyBorder="1" applyAlignment="1">
      <alignment horizontal="center" vertical="center" wrapText="1"/>
    </xf>
    <xf numFmtId="0" fontId="13" fillId="13" borderId="34" xfId="0" applyFont="1" applyFill="1" applyBorder="1" applyAlignment="1">
      <alignment horizontal="left" vertical="center" wrapText="1"/>
    </xf>
    <xf numFmtId="0" fontId="13" fillId="0" borderId="0" xfId="0" applyFont="1" applyAlignment="1">
      <alignment horizontal="center" vertical="center" wrapText="1"/>
    </xf>
    <xf numFmtId="0" fontId="13" fillId="8" borderId="9" xfId="0" applyFont="1" applyFill="1" applyBorder="1" applyAlignment="1">
      <alignment horizontal="center" vertical="center" wrapText="1"/>
    </xf>
    <xf numFmtId="0" fontId="13" fillId="8" borderId="25" xfId="0" applyFont="1" applyFill="1" applyBorder="1" applyAlignment="1">
      <alignment horizontal="center" vertical="center" wrapText="1"/>
    </xf>
    <xf numFmtId="0" fontId="13" fillId="8" borderId="30" xfId="0" applyFont="1" applyFill="1" applyBorder="1" applyAlignment="1">
      <alignment horizontal="left" vertical="center" wrapText="1"/>
    </xf>
    <xf numFmtId="0" fontId="13" fillId="9" borderId="9" xfId="0" applyFont="1" applyFill="1" applyBorder="1" applyAlignment="1">
      <alignment horizontal="center" vertical="center" wrapText="1"/>
    </xf>
    <xf numFmtId="0" fontId="13" fillId="9" borderId="25" xfId="0" applyFont="1" applyFill="1" applyBorder="1" applyAlignment="1">
      <alignment horizontal="center" vertical="center" wrapText="1"/>
    </xf>
    <xf numFmtId="0" fontId="13" fillId="9" borderId="30" xfId="0" applyFont="1" applyFill="1" applyBorder="1" applyAlignment="1">
      <alignment horizontal="left" vertical="center" wrapText="1"/>
    </xf>
    <xf numFmtId="0" fontId="13" fillId="13" borderId="9" xfId="0" applyFont="1" applyFill="1" applyBorder="1" applyAlignment="1">
      <alignment horizontal="center" vertical="center" wrapText="1"/>
    </xf>
    <xf numFmtId="0" fontId="13" fillId="13" borderId="25" xfId="0" applyFont="1" applyFill="1" applyBorder="1" applyAlignment="1">
      <alignment horizontal="center" vertical="center" wrapText="1"/>
    </xf>
    <xf numFmtId="0" fontId="13" fillId="13" borderId="30" xfId="0" applyFont="1" applyFill="1" applyBorder="1" applyAlignment="1">
      <alignment horizontal="left" vertical="center" wrapText="1"/>
    </xf>
    <xf numFmtId="0" fontId="0" fillId="16" borderId="17" xfId="0" applyFill="1" applyBorder="1" applyAlignment="1">
      <alignment vertical="center" wrapText="1"/>
    </xf>
    <xf numFmtId="0" fontId="13" fillId="9" borderId="26" xfId="0" applyFont="1" applyFill="1" applyBorder="1" applyAlignment="1">
      <alignment horizontal="left" vertical="center" wrapText="1"/>
    </xf>
    <xf numFmtId="0" fontId="0" fillId="16" borderId="7" xfId="0" applyFill="1" applyBorder="1" applyAlignment="1">
      <alignment vertical="center"/>
    </xf>
    <xf numFmtId="49" fontId="13" fillId="8" borderId="10" xfId="0" applyNumberFormat="1" applyFont="1" applyFill="1" applyBorder="1" applyAlignment="1">
      <alignment horizontal="center" vertical="center" wrapText="1"/>
    </xf>
    <xf numFmtId="49" fontId="13" fillId="9" borderId="10" xfId="0" applyNumberFormat="1" applyFont="1" applyFill="1" applyBorder="1" applyAlignment="1">
      <alignment horizontal="center" vertical="center" wrapText="1"/>
    </xf>
    <xf numFmtId="49" fontId="13" fillId="8" borderId="9" xfId="0" applyNumberFormat="1" applyFont="1" applyFill="1" applyBorder="1" applyAlignment="1">
      <alignment horizontal="center" vertical="center" wrapText="1"/>
    </xf>
    <xf numFmtId="9" fontId="13" fillId="0" borderId="0" xfId="1" applyFont="1" applyAlignment="1">
      <alignment vertical="center" wrapText="1"/>
    </xf>
    <xf numFmtId="0" fontId="0" fillId="13" borderId="8" xfId="0" applyFill="1" applyBorder="1" applyAlignment="1">
      <alignment horizontal="center" vertical="center" wrapText="1"/>
    </xf>
    <xf numFmtId="0" fontId="0" fillId="15" borderId="28" xfId="0" applyFill="1" applyBorder="1" applyAlignment="1">
      <alignment horizontal="center" vertical="center" wrapText="1"/>
    </xf>
    <xf numFmtId="0" fontId="0" fillId="15" borderId="37" xfId="0" applyFill="1" applyBorder="1" applyAlignment="1">
      <alignment horizontal="left" vertical="center" wrapText="1"/>
    </xf>
    <xf numFmtId="0" fontId="0" fillId="13" borderId="14" xfId="0" applyFill="1" applyBorder="1" applyAlignment="1">
      <alignment horizontal="center" vertical="center" wrapText="1"/>
    </xf>
    <xf numFmtId="0" fontId="0" fillId="15" borderId="29" xfId="0" applyFill="1" applyBorder="1" applyAlignment="1">
      <alignment horizontal="center" vertical="center" wrapText="1"/>
    </xf>
    <xf numFmtId="0" fontId="0" fillId="15" borderId="33" xfId="0" applyFill="1" applyBorder="1" applyAlignment="1">
      <alignment horizontal="left" vertical="center" wrapText="1"/>
    </xf>
    <xf numFmtId="0" fontId="0" fillId="8" borderId="35" xfId="0" applyFill="1" applyBorder="1" applyAlignment="1">
      <alignment horizontal="center" vertical="center" wrapText="1"/>
    </xf>
    <xf numFmtId="0" fontId="0" fillId="8" borderId="24" xfId="0" applyFill="1" applyBorder="1" applyAlignment="1">
      <alignment horizontal="center" vertical="center" wrapText="1"/>
    </xf>
    <xf numFmtId="0" fontId="0" fillId="8" borderId="36" xfId="0" applyFill="1" applyBorder="1" applyAlignment="1">
      <alignment horizontal="left" vertical="center" wrapText="1"/>
    </xf>
    <xf numFmtId="0" fontId="0" fillId="9" borderId="8" xfId="0" applyFill="1" applyBorder="1" applyAlignment="1">
      <alignment horizontal="center" vertical="center" wrapText="1"/>
    </xf>
    <xf numFmtId="0" fontId="0" fillId="8" borderId="14" xfId="0" applyFill="1" applyBorder="1" applyAlignment="1">
      <alignment horizontal="center" vertical="center" wrapText="1"/>
    </xf>
    <xf numFmtId="0" fontId="0" fillId="8" borderId="29" xfId="0" applyFill="1" applyBorder="1" applyAlignment="1">
      <alignment horizontal="center" vertical="center" wrapText="1"/>
    </xf>
    <xf numFmtId="0" fontId="0" fillId="8" borderId="33" xfId="0" applyFill="1" applyBorder="1" applyAlignment="1">
      <alignment horizontal="left" vertical="center" wrapText="1"/>
    </xf>
    <xf numFmtId="0" fontId="0" fillId="9" borderId="14" xfId="0" applyFill="1" applyBorder="1" applyAlignment="1">
      <alignment horizontal="center" vertical="center" wrapText="1"/>
    </xf>
    <xf numFmtId="0" fontId="0" fillId="9" borderId="29" xfId="0" applyFill="1" applyBorder="1" applyAlignment="1">
      <alignment horizontal="center" vertical="center" wrapText="1"/>
    </xf>
    <xf numFmtId="0" fontId="0" fillId="9" borderId="33" xfId="0" applyFill="1" applyBorder="1" applyAlignment="1">
      <alignment horizontal="left" vertical="center" wrapText="1"/>
    </xf>
    <xf numFmtId="0" fontId="0" fillId="9" borderId="35" xfId="0" applyFill="1" applyBorder="1" applyAlignment="1">
      <alignment horizontal="center" vertical="center" wrapText="1"/>
    </xf>
    <xf numFmtId="0" fontId="0" fillId="9" borderId="24" xfId="0" applyFill="1" applyBorder="1" applyAlignment="1">
      <alignment horizontal="center" vertical="center" wrapText="1"/>
    </xf>
    <xf numFmtId="0" fontId="0" fillId="9" borderId="36" xfId="0" applyFill="1" applyBorder="1" applyAlignment="1">
      <alignment horizontal="left" vertical="center" wrapText="1"/>
    </xf>
    <xf numFmtId="0" fontId="0" fillId="13" borderId="35" xfId="0" applyFill="1" applyBorder="1" applyAlignment="1">
      <alignment horizontal="center" vertical="center" wrapText="1"/>
    </xf>
    <xf numFmtId="0" fontId="0" fillId="15" borderId="24" xfId="0" applyFill="1" applyBorder="1" applyAlignment="1">
      <alignment horizontal="center" vertical="center" wrapText="1"/>
    </xf>
    <xf numFmtId="0" fontId="0" fillId="15" borderId="36" xfId="0" applyFill="1" applyBorder="1" applyAlignment="1">
      <alignment horizontal="left" vertical="center" wrapText="1"/>
    </xf>
    <xf numFmtId="0" fontId="0" fillId="9" borderId="24" xfId="0" applyFill="1" applyBorder="1" applyAlignment="1">
      <alignment horizontal="left" vertical="center" wrapText="1"/>
    </xf>
    <xf numFmtId="0" fontId="0" fillId="9" borderId="29" xfId="0" applyFill="1" applyBorder="1" applyAlignment="1">
      <alignment horizontal="left" vertical="center" wrapText="1"/>
    </xf>
    <xf numFmtId="0" fontId="0" fillId="8" borderId="8" xfId="0" applyFill="1" applyBorder="1" applyAlignment="1">
      <alignment horizontal="center" vertical="center" wrapText="1"/>
    </xf>
    <xf numFmtId="0" fontId="0" fillId="8" borderId="27" xfId="0" applyFill="1" applyBorder="1" applyAlignment="1">
      <alignment horizontal="center" vertical="center" wrapText="1"/>
    </xf>
    <xf numFmtId="0" fontId="0" fillId="9" borderId="27" xfId="0" applyFill="1" applyBorder="1" applyAlignment="1">
      <alignment horizontal="center" vertical="center" wrapText="1"/>
    </xf>
    <xf numFmtId="0" fontId="0" fillId="8" borderId="3" xfId="0" applyFill="1" applyBorder="1" applyAlignment="1">
      <alignment horizontal="center" vertical="center" wrapText="1"/>
    </xf>
    <xf numFmtId="0" fontId="0" fillId="8" borderId="27" xfId="0" applyFill="1" applyBorder="1" applyAlignment="1">
      <alignment horizontal="left" vertical="center" wrapText="1"/>
    </xf>
    <xf numFmtId="0" fontId="0" fillId="9" borderId="3" xfId="0" applyFill="1" applyBorder="1" applyAlignment="1">
      <alignment horizontal="center" vertical="center" wrapText="1"/>
    </xf>
    <xf numFmtId="0" fontId="0" fillId="9" borderId="27" xfId="0" applyFill="1" applyBorder="1" applyAlignment="1">
      <alignment horizontal="left" vertical="center" wrapText="1"/>
    </xf>
    <xf numFmtId="0" fontId="0" fillId="13" borderId="3" xfId="0" applyFill="1" applyBorder="1" applyAlignment="1">
      <alignment horizontal="center" vertical="center" wrapText="1"/>
    </xf>
    <xf numFmtId="0" fontId="0" fillId="13" borderId="27" xfId="0" applyFill="1" applyBorder="1" applyAlignment="1">
      <alignment horizontal="center" vertical="center" wrapText="1"/>
    </xf>
    <xf numFmtId="0" fontId="0" fillId="13" borderId="38" xfId="0" applyFill="1" applyBorder="1" applyAlignment="1">
      <alignment horizontal="left" vertical="center" wrapText="1"/>
    </xf>
    <xf numFmtId="0" fontId="1" fillId="21" borderId="39" xfId="4" applyFill="1" applyBorder="1" applyAlignment="1">
      <alignment horizontal="center" vertical="center"/>
    </xf>
    <xf numFmtId="10" fontId="1" fillId="21" borderId="39" xfId="4" applyNumberFormat="1" applyFill="1" applyBorder="1" applyAlignment="1">
      <alignment horizontal="center" vertical="center"/>
    </xf>
    <xf numFmtId="0" fontId="0" fillId="21" borderId="39" xfId="0" applyFill="1" applyBorder="1"/>
    <xf numFmtId="1" fontId="0" fillId="21" borderId="39" xfId="0" applyNumberFormat="1" applyFill="1" applyBorder="1" applyAlignment="1">
      <alignment horizontal="center"/>
    </xf>
    <xf numFmtId="2" fontId="0" fillId="21" borderId="39" xfId="0" applyNumberFormat="1" applyFill="1" applyBorder="1" applyAlignment="1">
      <alignment horizontal="center"/>
    </xf>
    <xf numFmtId="0" fontId="1" fillId="22" borderId="39" xfId="5" applyFill="1" applyBorder="1" applyAlignment="1">
      <alignment horizontal="center" vertical="center"/>
    </xf>
    <xf numFmtId="10" fontId="1" fillId="22" borderId="39" xfId="5" applyNumberFormat="1" applyFill="1" applyBorder="1" applyAlignment="1">
      <alignment horizontal="center" vertical="center"/>
    </xf>
    <xf numFmtId="0" fontId="0" fillId="22" borderId="39" xfId="0" applyFill="1" applyBorder="1"/>
    <xf numFmtId="1" fontId="0" fillId="22" borderId="39" xfId="0" applyNumberFormat="1" applyFill="1" applyBorder="1" applyAlignment="1">
      <alignment horizontal="center"/>
    </xf>
    <xf numFmtId="2" fontId="0" fillId="22" borderId="39" xfId="0" applyNumberFormat="1" applyFill="1" applyBorder="1" applyAlignment="1">
      <alignment horizontal="center"/>
    </xf>
    <xf numFmtId="0" fontId="1" fillId="23" borderId="39" xfId="6" applyFill="1" applyBorder="1" applyAlignment="1">
      <alignment horizontal="center" vertical="center"/>
    </xf>
    <xf numFmtId="10" fontId="1" fillId="23" borderId="39" xfId="6" applyNumberFormat="1" applyFill="1" applyBorder="1" applyAlignment="1">
      <alignment horizontal="center" vertical="center"/>
    </xf>
    <xf numFmtId="0" fontId="0" fillId="23" borderId="39" xfId="0" applyFill="1" applyBorder="1"/>
    <xf numFmtId="1" fontId="0" fillId="23" borderId="39" xfId="0" applyNumberFormat="1" applyFill="1" applyBorder="1" applyAlignment="1">
      <alignment horizontal="center"/>
    </xf>
    <xf numFmtId="2" fontId="0" fillId="23" borderId="39" xfId="0" applyNumberFormat="1" applyFill="1" applyBorder="1" applyAlignment="1">
      <alignment horizontal="center"/>
    </xf>
    <xf numFmtId="0" fontId="0" fillId="7" borderId="39" xfId="0" applyFill="1" applyBorder="1" applyAlignment="1">
      <alignment horizontal="center"/>
    </xf>
    <xf numFmtId="10" fontId="0" fillId="7" borderId="39" xfId="0" applyNumberFormat="1" applyFill="1" applyBorder="1" applyAlignment="1">
      <alignment horizontal="center"/>
    </xf>
    <xf numFmtId="0" fontId="0" fillId="7" borderId="39" xfId="0" applyFill="1" applyBorder="1"/>
    <xf numFmtId="2" fontId="0" fillId="7" borderId="39" xfId="0" applyNumberFormat="1" applyFill="1" applyBorder="1" applyAlignment="1">
      <alignment horizontal="center"/>
    </xf>
    <xf numFmtId="0" fontId="14" fillId="24" borderId="40" xfId="3" applyFont="1" applyFill="1" applyBorder="1" applyAlignment="1">
      <alignment horizontal="center" vertical="center"/>
    </xf>
    <xf numFmtId="0" fontId="14" fillId="24" borderId="40" xfId="3" applyFont="1" applyFill="1" applyBorder="1" applyAlignment="1">
      <alignment horizontal="center" vertical="center" wrapText="1"/>
    </xf>
    <xf numFmtId="0" fontId="14" fillId="24" borderId="40" xfId="0" applyFont="1" applyFill="1" applyBorder="1" applyAlignment="1">
      <alignment horizontal="center"/>
    </xf>
    <xf numFmtId="0" fontId="14" fillId="24" borderId="40" xfId="0" applyFont="1" applyFill="1" applyBorder="1"/>
    <xf numFmtId="0" fontId="15" fillId="19" borderId="4" xfId="0" applyFont="1" applyFill="1" applyBorder="1" applyAlignment="1">
      <alignment horizontal="left" vertical="center" wrapText="1"/>
    </xf>
    <xf numFmtId="0" fontId="16" fillId="19" borderId="20" xfId="0" applyFont="1" applyFill="1" applyBorder="1" applyAlignment="1">
      <alignment horizontal="left" vertical="center"/>
    </xf>
    <xf numFmtId="0" fontId="15" fillId="19" borderId="5" xfId="0" applyFont="1" applyFill="1" applyBorder="1" applyAlignment="1">
      <alignment horizontal="left" vertical="center"/>
    </xf>
    <xf numFmtId="0" fontId="14" fillId="11" borderId="14" xfId="0" applyFont="1" applyFill="1" applyBorder="1" applyAlignment="1">
      <alignment horizontal="left" vertical="center"/>
    </xf>
    <xf numFmtId="0" fontId="14" fillId="11" borderId="29" xfId="0" applyFont="1" applyFill="1" applyBorder="1" applyAlignment="1">
      <alignment horizontal="left" vertical="center"/>
    </xf>
    <xf numFmtId="0" fontId="14" fillId="11" borderId="33" xfId="0" applyFont="1" applyFill="1" applyBorder="1" applyAlignment="1">
      <alignment horizontal="left" vertical="center"/>
    </xf>
    <xf numFmtId="0" fontId="14" fillId="19" borderId="14" xfId="0" applyFont="1" applyFill="1" applyBorder="1" applyAlignment="1">
      <alignment horizontal="left" vertical="center"/>
    </xf>
    <xf numFmtId="0" fontId="14" fillId="19" borderId="29" xfId="0" applyFont="1" applyFill="1" applyBorder="1" applyAlignment="1">
      <alignment horizontal="left" vertical="center"/>
    </xf>
    <xf numFmtId="0" fontId="16" fillId="11" borderId="48" xfId="0" applyFont="1" applyFill="1" applyBorder="1" applyAlignment="1">
      <alignment horizontal="left" vertical="center"/>
    </xf>
    <xf numFmtId="0" fontId="16" fillId="11" borderId="49" xfId="0" applyFont="1" applyFill="1" applyBorder="1" applyAlignment="1">
      <alignment horizontal="left" vertical="center"/>
    </xf>
    <xf numFmtId="10" fontId="16" fillId="11" borderId="49" xfId="0" applyNumberFormat="1" applyFont="1" applyFill="1" applyBorder="1" applyAlignment="1">
      <alignment horizontal="left" vertical="center"/>
    </xf>
    <xf numFmtId="0" fontId="14" fillId="11" borderId="50" xfId="0" applyFont="1" applyFill="1" applyBorder="1" applyAlignment="1">
      <alignment horizontal="left" vertical="center"/>
    </xf>
    <xf numFmtId="0" fontId="16" fillId="11" borderId="51" xfId="0" applyFont="1" applyFill="1" applyBorder="1" applyAlignment="1">
      <alignment horizontal="left" vertical="center"/>
    </xf>
    <xf numFmtId="0" fontId="16" fillId="11" borderId="52" xfId="0" applyFont="1" applyFill="1" applyBorder="1" applyAlignment="1">
      <alignment horizontal="left" vertical="center"/>
    </xf>
    <xf numFmtId="10" fontId="16" fillId="11" borderId="52" xfId="0" applyNumberFormat="1" applyFont="1" applyFill="1" applyBorder="1" applyAlignment="1">
      <alignment horizontal="left" vertical="center"/>
    </xf>
    <xf numFmtId="0" fontId="15" fillId="11" borderId="53" xfId="0" applyFont="1" applyFill="1" applyBorder="1" applyAlignment="1">
      <alignment horizontal="left" vertical="center"/>
    </xf>
    <xf numFmtId="0" fontId="14" fillId="19" borderId="41" xfId="0" applyFont="1" applyFill="1" applyBorder="1" applyAlignment="1">
      <alignment horizontal="left" vertical="center"/>
    </xf>
    <xf numFmtId="0" fontId="14" fillId="19" borderId="24" xfId="0" applyFont="1" applyFill="1" applyBorder="1" applyAlignment="1">
      <alignment horizontal="left"/>
    </xf>
    <xf numFmtId="1" fontId="14" fillId="19" borderId="24" xfId="0" applyNumberFormat="1" applyFont="1" applyFill="1" applyBorder="1" applyAlignment="1">
      <alignment horizontal="left"/>
    </xf>
    <xf numFmtId="0" fontId="14" fillId="19" borderId="42" xfId="0" applyFont="1" applyFill="1" applyBorder="1" applyAlignment="1">
      <alignment horizontal="left"/>
    </xf>
    <xf numFmtId="0" fontId="14" fillId="11" borderId="43" xfId="0" applyFont="1" applyFill="1" applyBorder="1" applyAlignment="1">
      <alignment horizontal="left" vertical="center"/>
    </xf>
    <xf numFmtId="0" fontId="14" fillId="11" borderId="44" xfId="0" applyFont="1" applyFill="1" applyBorder="1" applyAlignment="1">
      <alignment horizontal="left"/>
    </xf>
    <xf numFmtId="1" fontId="14" fillId="11" borderId="44" xfId="0" applyNumberFormat="1" applyFont="1" applyFill="1" applyBorder="1" applyAlignment="1">
      <alignment horizontal="left"/>
    </xf>
    <xf numFmtId="0" fontId="14" fillId="11" borderId="45" xfId="0" applyFont="1" applyFill="1" applyBorder="1" applyAlignment="1">
      <alignment horizontal="left"/>
    </xf>
    <xf numFmtId="0" fontId="15" fillId="20" borderId="4" xfId="0" applyFont="1" applyFill="1" applyBorder="1" applyAlignment="1">
      <alignment horizontal="left" vertical="center" wrapText="1"/>
    </xf>
    <xf numFmtId="0" fontId="15" fillId="20" borderId="20" xfId="0" applyFont="1" applyFill="1" applyBorder="1" applyAlignment="1">
      <alignment horizontal="left" vertical="center" wrapText="1"/>
    </xf>
    <xf numFmtId="0" fontId="15" fillId="20" borderId="5" xfId="0" applyFont="1" applyFill="1" applyBorder="1" applyAlignment="1">
      <alignment horizontal="left" vertical="center"/>
    </xf>
    <xf numFmtId="0" fontId="14" fillId="12" borderId="14" xfId="0" applyFont="1" applyFill="1" applyBorder="1" applyAlignment="1">
      <alignment horizontal="left" vertical="center" wrapText="1"/>
    </xf>
    <xf numFmtId="0" fontId="14" fillId="12" borderId="29" xfId="0" applyFont="1" applyFill="1" applyBorder="1" applyAlignment="1">
      <alignment horizontal="left" vertical="center" wrapText="1"/>
    </xf>
    <xf numFmtId="0" fontId="14" fillId="12" borderId="33" xfId="0" applyFont="1" applyFill="1" applyBorder="1" applyAlignment="1">
      <alignment horizontal="left" vertical="center"/>
    </xf>
    <xf numFmtId="0" fontId="14" fillId="20" borderId="14" xfId="0" applyFont="1" applyFill="1" applyBorder="1" applyAlignment="1">
      <alignment horizontal="left" vertical="center" wrapText="1"/>
    </xf>
    <xf numFmtId="0" fontId="14" fillId="20" borderId="29" xfId="0" applyFont="1" applyFill="1" applyBorder="1" applyAlignment="1">
      <alignment horizontal="left" vertical="center" wrapText="1"/>
    </xf>
    <xf numFmtId="0" fontId="14" fillId="20" borderId="33" xfId="0" applyFont="1" applyFill="1" applyBorder="1" applyAlignment="1">
      <alignment horizontal="left" vertical="center"/>
    </xf>
    <xf numFmtId="0" fontId="16" fillId="12" borderId="48" xfId="0" applyFont="1" applyFill="1" applyBorder="1" applyAlignment="1">
      <alignment horizontal="left" vertical="center" wrapText="1"/>
    </xf>
    <xf numFmtId="0" fontId="16" fillId="12" borderId="49" xfId="0" applyFont="1" applyFill="1" applyBorder="1" applyAlignment="1">
      <alignment horizontal="left" vertical="center" wrapText="1"/>
    </xf>
    <xf numFmtId="10" fontId="16" fillId="12" borderId="49" xfId="1" applyNumberFormat="1" applyFont="1" applyFill="1" applyBorder="1" applyAlignment="1">
      <alignment horizontal="left" vertical="center" wrapText="1"/>
    </xf>
    <xf numFmtId="0" fontId="16" fillId="12" borderId="50" xfId="0" applyFont="1" applyFill="1" applyBorder="1" applyAlignment="1">
      <alignment horizontal="left" vertical="center"/>
    </xf>
    <xf numFmtId="0" fontId="16" fillId="12" borderId="51" xfId="0" applyFont="1" applyFill="1" applyBorder="1" applyAlignment="1">
      <alignment horizontal="left" vertical="center" wrapText="1"/>
    </xf>
    <xf numFmtId="0" fontId="16" fillId="12" borderId="52" xfId="0" applyFont="1" applyFill="1" applyBorder="1" applyAlignment="1">
      <alignment horizontal="left" vertical="center" wrapText="1"/>
    </xf>
    <xf numFmtId="10" fontId="16" fillId="12" borderId="52" xfId="1" applyNumberFormat="1" applyFont="1" applyFill="1" applyBorder="1" applyAlignment="1">
      <alignment horizontal="left" vertical="center" wrapText="1"/>
    </xf>
    <xf numFmtId="0" fontId="16" fillId="12" borderId="53" xfId="0" applyFont="1" applyFill="1" applyBorder="1" applyAlignment="1">
      <alignment horizontal="left" vertical="center"/>
    </xf>
    <xf numFmtId="0" fontId="14" fillId="20" borderId="41" xfId="0" applyFont="1" applyFill="1" applyBorder="1" applyAlignment="1">
      <alignment horizontal="left" vertical="center" wrapText="1"/>
    </xf>
    <xf numFmtId="0" fontId="14" fillId="20" borderId="24" xfId="0" applyFont="1" applyFill="1" applyBorder="1" applyAlignment="1">
      <alignment horizontal="left"/>
    </xf>
    <xf numFmtId="1" fontId="14" fillId="20" borderId="24" xfId="0" applyNumberFormat="1" applyFont="1" applyFill="1" applyBorder="1" applyAlignment="1">
      <alignment horizontal="left" vertical="center" wrapText="1"/>
    </xf>
    <xf numFmtId="0" fontId="14" fillId="20" borderId="42" xfId="0" applyFont="1" applyFill="1" applyBorder="1" applyAlignment="1">
      <alignment horizontal="left"/>
    </xf>
    <xf numFmtId="0" fontId="14" fillId="12" borderId="46" xfId="0" applyFont="1" applyFill="1" applyBorder="1" applyAlignment="1">
      <alignment horizontal="left" vertical="center" wrapText="1"/>
    </xf>
    <xf numFmtId="0" fontId="14" fillId="12" borderId="29" xfId="0" applyFont="1" applyFill="1" applyBorder="1" applyAlignment="1">
      <alignment horizontal="left"/>
    </xf>
    <xf numFmtId="1" fontId="14" fillId="12" borderId="29" xfId="0" applyNumberFormat="1" applyFont="1" applyFill="1" applyBorder="1" applyAlignment="1">
      <alignment horizontal="left"/>
    </xf>
    <xf numFmtId="0" fontId="14" fillId="12" borderId="47" xfId="0" applyFont="1" applyFill="1" applyBorder="1" applyAlignment="1">
      <alignment horizontal="left"/>
    </xf>
    <xf numFmtId="0" fontId="14" fillId="20" borderId="43" xfId="0" applyFont="1" applyFill="1" applyBorder="1" applyAlignment="1">
      <alignment horizontal="left" vertical="center" wrapText="1"/>
    </xf>
    <xf numFmtId="0" fontId="14" fillId="20" borderId="44" xfId="0" applyFont="1" applyFill="1" applyBorder="1" applyAlignment="1">
      <alignment horizontal="left"/>
    </xf>
    <xf numFmtId="1" fontId="14" fillId="20" borderId="44" xfId="0" applyNumberFormat="1" applyFont="1" applyFill="1" applyBorder="1" applyAlignment="1">
      <alignment horizontal="left" vertical="center"/>
    </xf>
    <xf numFmtId="0" fontId="14" fillId="20" borderId="45" xfId="0" applyFont="1" applyFill="1" applyBorder="1" applyAlignment="1">
      <alignment horizontal="left"/>
    </xf>
    <xf numFmtId="0" fontId="16" fillId="18" borderId="4" xfId="0" applyFont="1" applyFill="1" applyBorder="1" applyAlignment="1">
      <alignment horizontal="left" vertical="center"/>
    </xf>
    <xf numFmtId="0" fontId="16" fillId="18" borderId="20" xfId="0" applyFont="1" applyFill="1" applyBorder="1" applyAlignment="1">
      <alignment horizontal="left" vertical="center"/>
    </xf>
    <xf numFmtId="0" fontId="15" fillId="18" borderId="5" xfId="0" applyFont="1" applyFill="1" applyBorder="1" applyAlignment="1">
      <alignment horizontal="left" vertical="center"/>
    </xf>
    <xf numFmtId="0" fontId="14" fillId="14" borderId="14" xfId="0" applyFont="1" applyFill="1" applyBorder="1" applyAlignment="1">
      <alignment horizontal="left" vertical="center"/>
    </xf>
    <xf numFmtId="0" fontId="14" fillId="14" borderId="29" xfId="0" applyFont="1" applyFill="1" applyBorder="1" applyAlignment="1">
      <alignment horizontal="left" vertical="center"/>
    </xf>
    <xf numFmtId="0" fontId="14" fillId="14" borderId="33" xfId="0" applyFont="1" applyFill="1" applyBorder="1" applyAlignment="1">
      <alignment horizontal="left" vertical="center"/>
    </xf>
    <xf numFmtId="0" fontId="14" fillId="18" borderId="14" xfId="0" applyFont="1" applyFill="1" applyBorder="1" applyAlignment="1">
      <alignment horizontal="left" vertical="center"/>
    </xf>
    <xf numFmtId="0" fontId="14" fillId="18" borderId="29" xfId="0" applyFont="1" applyFill="1" applyBorder="1" applyAlignment="1">
      <alignment horizontal="left" vertical="center"/>
    </xf>
    <xf numFmtId="0" fontId="14" fillId="18" borderId="33" xfId="0" applyFont="1" applyFill="1" applyBorder="1" applyAlignment="1">
      <alignment horizontal="left" vertical="center"/>
    </xf>
    <xf numFmtId="0" fontId="16" fillId="14" borderId="48" xfId="0" applyFont="1" applyFill="1" applyBorder="1" applyAlignment="1">
      <alignment horizontal="left" vertical="center"/>
    </xf>
    <xf numFmtId="0" fontId="16" fillId="14" borderId="49" xfId="0" applyFont="1" applyFill="1" applyBorder="1" applyAlignment="1">
      <alignment horizontal="left" vertical="center"/>
    </xf>
    <xf numFmtId="10" fontId="16" fillId="14" borderId="49" xfId="1" applyNumberFormat="1" applyFont="1" applyFill="1" applyBorder="1" applyAlignment="1">
      <alignment horizontal="left" vertical="center"/>
    </xf>
    <xf numFmtId="0" fontId="14" fillId="14" borderId="50" xfId="0" applyFont="1" applyFill="1" applyBorder="1" applyAlignment="1">
      <alignment horizontal="left" vertical="center"/>
    </xf>
    <xf numFmtId="0" fontId="16" fillId="14" borderId="51" xfId="0" applyFont="1" applyFill="1" applyBorder="1" applyAlignment="1">
      <alignment horizontal="left" vertical="center"/>
    </xf>
    <xf numFmtId="0" fontId="16" fillId="14" borderId="52" xfId="0" applyFont="1" applyFill="1" applyBorder="1" applyAlignment="1">
      <alignment horizontal="left" vertical="center"/>
    </xf>
    <xf numFmtId="10" fontId="16" fillId="14" borderId="52" xfId="1" applyNumberFormat="1" applyFont="1" applyFill="1" applyBorder="1" applyAlignment="1">
      <alignment horizontal="left" vertical="center"/>
    </xf>
    <xf numFmtId="0" fontId="15" fillId="14" borderId="53" xfId="0" applyFont="1" applyFill="1" applyBorder="1" applyAlignment="1">
      <alignment horizontal="left" vertical="center"/>
    </xf>
    <xf numFmtId="0" fontId="14" fillId="18" borderId="41" xfId="0" applyFont="1" applyFill="1" applyBorder="1" applyAlignment="1">
      <alignment horizontal="left" vertical="center"/>
    </xf>
    <xf numFmtId="0" fontId="14" fillId="18" borderId="24" xfId="0" applyFont="1" applyFill="1" applyBorder="1" applyAlignment="1">
      <alignment horizontal="left"/>
    </xf>
    <xf numFmtId="1" fontId="14" fillId="18" borderId="24" xfId="0" applyNumberFormat="1" applyFont="1" applyFill="1" applyBorder="1" applyAlignment="1">
      <alignment horizontal="left"/>
    </xf>
    <xf numFmtId="0" fontId="14" fillId="18" borderId="42" xfId="0" applyFont="1" applyFill="1" applyBorder="1" applyAlignment="1">
      <alignment horizontal="left"/>
    </xf>
    <xf numFmtId="0" fontId="14" fillId="14" borderId="46" xfId="0" applyFont="1" applyFill="1" applyBorder="1" applyAlignment="1">
      <alignment horizontal="left" vertical="center"/>
    </xf>
    <xf numFmtId="0" fontId="14" fillId="14" borderId="29" xfId="0" applyFont="1" applyFill="1" applyBorder="1" applyAlignment="1">
      <alignment horizontal="left"/>
    </xf>
    <xf numFmtId="1" fontId="14" fillId="14" borderId="29" xfId="0" applyNumberFormat="1" applyFont="1" applyFill="1" applyBorder="1" applyAlignment="1">
      <alignment horizontal="left"/>
    </xf>
    <xf numFmtId="0" fontId="14" fillId="14" borderId="47" xfId="0" applyFont="1" applyFill="1" applyBorder="1" applyAlignment="1">
      <alignment horizontal="left"/>
    </xf>
    <xf numFmtId="0" fontId="14" fillId="18" borderId="43" xfId="0" applyFont="1" applyFill="1" applyBorder="1" applyAlignment="1">
      <alignment horizontal="left" vertical="center"/>
    </xf>
    <xf numFmtId="0" fontId="14" fillId="18" borderId="44" xfId="0" applyFont="1" applyFill="1" applyBorder="1" applyAlignment="1">
      <alignment horizontal="left"/>
    </xf>
    <xf numFmtId="1" fontId="14" fillId="18" borderId="44" xfId="0" applyNumberFormat="1" applyFont="1" applyFill="1" applyBorder="1" applyAlignment="1">
      <alignment horizontal="left" vertical="center"/>
    </xf>
    <xf numFmtId="0" fontId="14" fillId="18" borderId="45" xfId="0" applyFont="1" applyFill="1" applyBorder="1" applyAlignment="1">
      <alignment horizontal="left"/>
    </xf>
    <xf numFmtId="0" fontId="0" fillId="10" borderId="8" xfId="0" applyFill="1" applyBorder="1" applyAlignment="1">
      <alignment horizontal="center" vertical="center" wrapText="1"/>
    </xf>
    <xf numFmtId="0" fontId="12" fillId="16" borderId="17" xfId="0" applyFont="1" applyFill="1" applyBorder="1" applyAlignment="1">
      <alignment vertical="center"/>
    </xf>
    <xf numFmtId="0" fontId="14" fillId="20" borderId="33" xfId="0" applyFont="1" applyFill="1" applyBorder="1" applyAlignment="1">
      <alignment horizontal="left" vertical="center" wrapText="1"/>
    </xf>
    <xf numFmtId="0" fontId="18" fillId="0" borderId="54" xfId="0" applyFont="1" applyBorder="1" applyAlignment="1">
      <alignment wrapText="1" readingOrder="1"/>
    </xf>
    <xf numFmtId="0" fontId="18" fillId="25" borderId="54" xfId="0" applyFont="1" applyFill="1" applyBorder="1" applyAlignment="1">
      <alignment wrapText="1" readingOrder="1"/>
    </xf>
    <xf numFmtId="0" fontId="19" fillId="0" borderId="54" xfId="0" applyFont="1" applyBorder="1" applyAlignment="1">
      <alignment readingOrder="1"/>
    </xf>
    <xf numFmtId="0" fontId="18" fillId="26" borderId="54" xfId="0" applyFont="1" applyFill="1" applyBorder="1" applyAlignment="1">
      <alignment wrapText="1" readingOrder="1"/>
    </xf>
    <xf numFmtId="0" fontId="18" fillId="27" borderId="54" xfId="0" applyFont="1" applyFill="1" applyBorder="1" applyAlignment="1">
      <alignment wrapText="1" readingOrder="1"/>
    </xf>
    <xf numFmtId="0" fontId="18" fillId="27" borderId="55" xfId="0" applyFont="1" applyFill="1" applyBorder="1" applyAlignment="1">
      <alignment wrapText="1" readingOrder="1"/>
    </xf>
    <xf numFmtId="0" fontId="20" fillId="0" borderId="56" xfId="0" applyFont="1" applyBorder="1" applyAlignment="1">
      <alignment horizontal="left" vertical="top" wrapText="1" readingOrder="1"/>
    </xf>
    <xf numFmtId="0" fontId="18" fillId="25" borderId="56" xfId="0" applyFont="1" applyFill="1" applyBorder="1" applyAlignment="1">
      <alignment wrapText="1" readingOrder="1"/>
    </xf>
    <xf numFmtId="0" fontId="20" fillId="28" borderId="56" xfId="0" applyFont="1" applyFill="1" applyBorder="1" applyAlignment="1">
      <alignment readingOrder="1"/>
    </xf>
    <xf numFmtId="0" fontId="20" fillId="0" borderId="54" xfId="0" applyFont="1" applyBorder="1" applyAlignment="1">
      <alignment vertical="top" wrapText="1" readingOrder="1"/>
    </xf>
    <xf numFmtId="0" fontId="18" fillId="27" borderId="56" xfId="0" applyFont="1" applyFill="1" applyBorder="1" applyAlignment="1">
      <alignment wrapText="1" readingOrder="1"/>
    </xf>
    <xf numFmtId="10" fontId="19" fillId="27" borderId="57" xfId="0" applyNumberFormat="1" applyFont="1" applyFill="1" applyBorder="1" applyAlignment="1">
      <alignment readingOrder="1"/>
    </xf>
    <xf numFmtId="0" fontId="18" fillId="26" borderId="56" xfId="0" applyFont="1" applyFill="1" applyBorder="1" applyAlignment="1">
      <alignment wrapText="1" readingOrder="1"/>
    </xf>
    <xf numFmtId="0" fontId="21" fillId="0" borderId="0" xfId="0" applyFont="1" applyAlignment="1">
      <alignment horizontal="center" vertical="center"/>
    </xf>
    <xf numFmtId="0" fontId="14" fillId="14" borderId="33" xfId="0" applyFont="1" applyFill="1" applyBorder="1" applyAlignment="1">
      <alignment horizontal="left" vertical="center" wrapText="1"/>
    </xf>
    <xf numFmtId="0" fontId="14" fillId="19" borderId="33" xfId="0" applyFont="1" applyFill="1" applyBorder="1" applyAlignment="1">
      <alignment horizontal="left" vertical="center" wrapText="1"/>
    </xf>
    <xf numFmtId="0" fontId="14" fillId="11" borderId="33" xfId="0" applyFont="1" applyFill="1" applyBorder="1" applyAlignment="1">
      <alignment horizontal="left" vertical="center" wrapText="1"/>
    </xf>
    <xf numFmtId="0" fontId="22" fillId="28" borderId="0" xfId="0" applyFont="1" applyFill="1"/>
    <xf numFmtId="0" fontId="0" fillId="16" borderId="7" xfId="0" applyFill="1" applyBorder="1" applyAlignment="1">
      <alignment horizontal="center" vertical="center"/>
    </xf>
    <xf numFmtId="0" fontId="0" fillId="16" borderId="17" xfId="0" applyFill="1" applyBorder="1" applyAlignment="1">
      <alignment horizontal="center" vertical="center"/>
    </xf>
    <xf numFmtId="49" fontId="13" fillId="0" borderId="12" xfId="0" applyNumberFormat="1" applyFont="1" applyBorder="1" applyAlignment="1">
      <alignment horizontal="right" vertical="center" wrapText="1"/>
    </xf>
    <xf numFmtId="49" fontId="13" fillId="0" borderId="25" xfId="0" applyNumberFormat="1" applyFont="1" applyBorder="1" applyAlignment="1">
      <alignment horizontal="right" vertical="center" wrapText="1"/>
    </xf>
    <xf numFmtId="0" fontId="12" fillId="17" borderId="7" xfId="0" applyFont="1" applyFill="1" applyBorder="1" applyAlignment="1">
      <alignment horizontal="left" vertical="center" wrapText="1"/>
    </xf>
    <xf numFmtId="0" fontId="12" fillId="17" borderId="17" xfId="0" applyFont="1" applyFill="1" applyBorder="1" applyAlignment="1">
      <alignment horizontal="left" vertical="center" wrapText="1"/>
    </xf>
    <xf numFmtId="0" fontId="12" fillId="17" borderId="18" xfId="0" applyFont="1" applyFill="1" applyBorder="1" applyAlignment="1">
      <alignment horizontal="left" vertical="center" wrapText="1"/>
    </xf>
    <xf numFmtId="0" fontId="12" fillId="16" borderId="17" xfId="0" applyFont="1" applyFill="1" applyBorder="1" applyAlignment="1">
      <alignment horizontal="left" vertical="center" wrapText="1"/>
    </xf>
    <xf numFmtId="0" fontId="0" fillId="0" borderId="8" xfId="0" applyBorder="1" applyAlignment="1">
      <alignment horizontal="right" vertical="center" wrapText="1"/>
    </xf>
    <xf numFmtId="0" fontId="0" fillId="0" borderId="28" xfId="0" applyBorder="1" applyAlignment="1">
      <alignment horizontal="right" vertical="center" wrapText="1"/>
    </xf>
    <xf numFmtId="0" fontId="13" fillId="0" borderId="10" xfId="0" applyFont="1" applyBorder="1" applyAlignment="1">
      <alignment horizontal="right" vertical="center" wrapText="1"/>
    </xf>
    <xf numFmtId="0" fontId="13" fillId="0" borderId="26" xfId="0" applyFont="1" applyBorder="1" applyAlignment="1">
      <alignment horizontal="right" vertical="center" wrapText="1"/>
    </xf>
    <xf numFmtId="9" fontId="13" fillId="8" borderId="10" xfId="1" applyFont="1" applyFill="1" applyBorder="1" applyAlignment="1">
      <alignment horizontal="center" vertical="center" wrapText="1"/>
    </xf>
    <xf numFmtId="9" fontId="13" fillId="8" borderId="26" xfId="1" applyFont="1" applyFill="1" applyBorder="1" applyAlignment="1">
      <alignment horizontal="center" vertical="center" wrapText="1"/>
    </xf>
    <xf numFmtId="9" fontId="13" fillId="8" borderId="34" xfId="1" applyFont="1" applyFill="1" applyBorder="1" applyAlignment="1">
      <alignment horizontal="center" vertical="center" wrapText="1"/>
    </xf>
    <xf numFmtId="9" fontId="13" fillId="9" borderId="10" xfId="1" applyFont="1" applyFill="1" applyBorder="1" applyAlignment="1">
      <alignment horizontal="center" vertical="center" wrapText="1"/>
    </xf>
    <xf numFmtId="9" fontId="13" fillId="9" borderId="26" xfId="1" applyFont="1" applyFill="1" applyBorder="1" applyAlignment="1">
      <alignment horizontal="center" vertical="center" wrapText="1"/>
    </xf>
    <xf numFmtId="9" fontId="13" fillId="9" borderId="34" xfId="1" applyFont="1" applyFill="1" applyBorder="1" applyAlignment="1">
      <alignment horizontal="center" vertical="center" wrapText="1"/>
    </xf>
    <xf numFmtId="9" fontId="13" fillId="10" borderId="10" xfId="1" applyFont="1" applyFill="1" applyBorder="1" applyAlignment="1">
      <alignment horizontal="center" vertical="center" wrapText="1"/>
    </xf>
    <xf numFmtId="9" fontId="13" fillId="10" borderId="26" xfId="1" applyFont="1" applyFill="1" applyBorder="1" applyAlignment="1">
      <alignment horizontal="center" vertical="center" wrapText="1"/>
    </xf>
    <xf numFmtId="9" fontId="13" fillId="10" borderId="34" xfId="1" applyFont="1" applyFill="1" applyBorder="1" applyAlignment="1">
      <alignment horizontal="center" vertical="center" wrapText="1"/>
    </xf>
    <xf numFmtId="49" fontId="13" fillId="0" borderId="10" xfId="0" applyNumberFormat="1" applyFont="1" applyBorder="1" applyAlignment="1">
      <alignment horizontal="right" vertical="center" wrapText="1"/>
    </xf>
    <xf numFmtId="49" fontId="13" fillId="0" borderId="34" xfId="0" applyNumberFormat="1" applyFont="1" applyBorder="1" applyAlignment="1">
      <alignment horizontal="right" vertical="center" wrapText="1"/>
    </xf>
    <xf numFmtId="0" fontId="0" fillId="0" borderId="0" xfId="0" applyAlignment="1">
      <alignment horizontal="center" vertical="center"/>
    </xf>
    <xf numFmtId="0" fontId="0" fillId="0" borderId="2" xfId="0" applyBorder="1" applyAlignment="1">
      <alignment horizontal="center" vertical="center"/>
    </xf>
    <xf numFmtId="49" fontId="3" fillId="0" borderId="1" xfId="0" applyNumberFormat="1" applyFont="1" applyBorder="1" applyAlignment="1">
      <alignment horizontal="left" vertical="center" wrapText="1"/>
    </xf>
    <xf numFmtId="49" fontId="3" fillId="0" borderId="3" xfId="0" applyNumberFormat="1" applyFont="1" applyBorder="1" applyAlignment="1">
      <alignment horizontal="left" vertical="center" wrapText="1"/>
    </xf>
    <xf numFmtId="0" fontId="3" fillId="8" borderId="1" xfId="0" applyFont="1" applyFill="1" applyBorder="1" applyAlignment="1">
      <alignment horizontal="center" vertical="center" wrapText="1"/>
    </xf>
    <xf numFmtId="0" fontId="3" fillId="8" borderId="6" xfId="0" applyFont="1" applyFill="1" applyBorder="1" applyAlignment="1">
      <alignment horizontal="center" vertical="center" wrapText="1"/>
    </xf>
    <xf numFmtId="0" fontId="3" fillId="9" borderId="31" xfId="0" applyFont="1" applyFill="1" applyBorder="1" applyAlignment="1">
      <alignment horizontal="center" vertical="center" wrapText="1"/>
    </xf>
    <xf numFmtId="0" fontId="3" fillId="9" borderId="19" xfId="0" applyFont="1" applyFill="1" applyBorder="1" applyAlignment="1">
      <alignment horizontal="center" vertical="center" wrapText="1"/>
    </xf>
    <xf numFmtId="0" fontId="3" fillId="9" borderId="32" xfId="0" applyFont="1" applyFill="1" applyBorder="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left" vertical="center" wrapText="1"/>
    </xf>
    <xf numFmtId="0" fontId="3" fillId="13" borderId="31" xfId="0" applyFont="1" applyFill="1" applyBorder="1" applyAlignment="1">
      <alignment horizontal="center" vertical="center" wrapText="1"/>
    </xf>
    <xf numFmtId="0" fontId="3" fillId="13" borderId="19" xfId="0" applyFont="1" applyFill="1" applyBorder="1" applyAlignment="1">
      <alignment horizontal="center" vertical="center" wrapText="1"/>
    </xf>
    <xf numFmtId="0" fontId="3" fillId="13" borderId="16" xfId="0" applyFont="1" applyFill="1" applyBorder="1" applyAlignment="1">
      <alignment horizontal="center" vertical="center" wrapText="1"/>
    </xf>
    <xf numFmtId="49" fontId="3" fillId="0" borderId="6" xfId="0" applyNumberFormat="1" applyFont="1" applyBorder="1" applyAlignment="1">
      <alignment horizontal="left" vertical="center" wrapText="1"/>
    </xf>
    <xf numFmtId="49" fontId="3" fillId="0" borderId="27" xfId="0" applyNumberFormat="1" applyFont="1" applyBorder="1" applyAlignment="1">
      <alignment horizontal="left" vertical="center" wrapText="1"/>
    </xf>
    <xf numFmtId="0" fontId="12" fillId="16" borderId="17" xfId="0" applyFont="1" applyFill="1" applyBorder="1" applyAlignment="1">
      <alignment horizontal="left" vertical="center"/>
    </xf>
    <xf numFmtId="49" fontId="13" fillId="0" borderId="15" xfId="0" applyNumberFormat="1" applyFont="1" applyBorder="1" applyAlignment="1">
      <alignment horizontal="right" vertical="center" wrapText="1"/>
    </xf>
    <xf numFmtId="0" fontId="6" fillId="0" borderId="0" xfId="0" applyFont="1" applyAlignment="1">
      <alignment horizontal="center" vertical="center"/>
    </xf>
    <xf numFmtId="0" fontId="17" fillId="18" borderId="3" xfId="0" applyFont="1" applyFill="1" applyBorder="1" applyAlignment="1">
      <alignment horizontal="center"/>
    </xf>
    <xf numFmtId="0" fontId="17" fillId="18" borderId="27" xfId="0" applyFont="1" applyFill="1" applyBorder="1" applyAlignment="1">
      <alignment horizontal="center"/>
    </xf>
    <xf numFmtId="0" fontId="17" fillId="18" borderId="38" xfId="0" applyFont="1" applyFill="1" applyBorder="1" applyAlignment="1">
      <alignment horizontal="center"/>
    </xf>
    <xf numFmtId="0" fontId="7" fillId="19" borderId="7" xfId="0" applyFont="1" applyFill="1" applyBorder="1" applyAlignment="1">
      <alignment horizontal="center"/>
    </xf>
    <xf numFmtId="0" fontId="7" fillId="19" borderId="17" xfId="0" applyFont="1" applyFill="1" applyBorder="1" applyAlignment="1">
      <alignment horizontal="center"/>
    </xf>
    <xf numFmtId="0" fontId="7" fillId="19" borderId="18" xfId="0" applyFont="1" applyFill="1" applyBorder="1" applyAlignment="1">
      <alignment horizontal="center"/>
    </xf>
    <xf numFmtId="0" fontId="16" fillId="11" borderId="49" xfId="0" applyFont="1" applyFill="1" applyBorder="1" applyAlignment="1">
      <alignment horizontal="left" vertical="center"/>
    </xf>
    <xf numFmtId="2" fontId="17" fillId="20" borderId="3" xfId="0" applyNumberFormat="1" applyFont="1" applyFill="1" applyBorder="1" applyAlignment="1">
      <alignment horizontal="center" vertical="center" wrapText="1"/>
    </xf>
    <xf numFmtId="2" fontId="17" fillId="20" borderId="27" xfId="0" applyNumberFormat="1" applyFont="1" applyFill="1" applyBorder="1" applyAlignment="1">
      <alignment horizontal="center" vertical="center" wrapText="1"/>
    </xf>
    <xf numFmtId="2" fontId="17" fillId="20" borderId="38" xfId="0" applyNumberFormat="1" applyFont="1" applyFill="1" applyBorder="1" applyAlignment="1">
      <alignment horizontal="center" vertical="center" wrapText="1"/>
    </xf>
    <xf numFmtId="0" fontId="21" fillId="0" borderId="58" xfId="0" applyFont="1" applyBorder="1" applyAlignment="1">
      <alignment horizontal="center" vertical="center"/>
    </xf>
  </cellXfs>
  <cellStyles count="7">
    <cellStyle name="40% - Accent1" xfId="4" builtinId="31"/>
    <cellStyle name="40% - Accent2" xfId="5" builtinId="35"/>
    <cellStyle name="40% - Accent3" xfId="6" builtinId="39"/>
    <cellStyle name="Explanatory Text" xfId="2" builtinId="53" customBuiltin="1"/>
    <cellStyle name="Normal" xfId="0" builtinId="0"/>
    <cellStyle name="Output" xfId="3" builtinId="21"/>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FFFCC"/>
      <rgbColor rgb="FFCCFFFF"/>
      <rgbColor rgb="FF660066"/>
      <rgbColor rgb="FFFF8080"/>
      <rgbColor rgb="FF0070C0"/>
      <rgbColor rgb="FFB9CDE5"/>
      <rgbColor rgb="FF000080"/>
      <rgbColor rgb="FFFF00FF"/>
      <rgbColor rgb="FFFFFF00"/>
      <rgbColor rgb="FF00FFFF"/>
      <rgbColor rgb="FF800080"/>
      <rgbColor rgb="FF800000"/>
      <rgbColor rgb="FF008080"/>
      <rgbColor rgb="FF0000FF"/>
      <rgbColor rgb="FF00B0F0"/>
      <rgbColor rgb="FFCCFFFF"/>
      <rgbColor rgb="FFD7E4BD"/>
      <rgbColor rgb="FFFFFF99"/>
      <rgbColor rgb="FF99CCFF"/>
      <rgbColor rgb="FFFF99CC"/>
      <rgbColor rgb="FFCC99FF"/>
      <rgbColor rgb="FFE6B9B8"/>
      <rgbColor rgb="FF3366FF"/>
      <rgbColor rgb="FF33CCCC"/>
      <rgbColor rgb="FF9BBB59"/>
      <rgbColor rgb="FFFFC000"/>
      <rgbColor rgb="FFF79646"/>
      <rgbColor rgb="FFE46C0A"/>
      <rgbColor rgb="FF8064A2"/>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FA667-0374-4556-B71F-558CE1E91347}">
  <sheetPr codeName="Sheet6"/>
  <dimension ref="A3:H7"/>
  <sheetViews>
    <sheetView tabSelected="1" workbookViewId="0">
      <selection activeCell="G6" sqref="G6:G7"/>
    </sheetView>
  </sheetViews>
  <sheetFormatPr defaultColWidth="9.140625" defaultRowHeight="15"/>
  <cols>
    <col min="2" max="2" width="15" customWidth="1"/>
    <col min="3" max="3" width="16" customWidth="1"/>
    <col min="4" max="4" width="14.140625" customWidth="1"/>
    <col min="5" max="5" width="16.140625" bestFit="1" customWidth="1"/>
    <col min="6" max="6" width="9.28515625" bestFit="1" customWidth="1"/>
    <col min="7" max="7" width="15.7109375" customWidth="1"/>
  </cols>
  <sheetData>
    <row r="3" spans="1:8" ht="30.75">
      <c r="A3" s="40"/>
      <c r="B3" s="126" t="s">
        <v>0</v>
      </c>
      <c r="C3" s="126" t="s">
        <v>1</v>
      </c>
      <c r="D3" s="126" t="s">
        <v>2</v>
      </c>
      <c r="E3" s="127" t="s">
        <v>3</v>
      </c>
      <c r="F3" s="128" t="s">
        <v>4</v>
      </c>
      <c r="G3" s="129" t="s">
        <v>5</v>
      </c>
      <c r="H3" s="129" t="s">
        <v>6</v>
      </c>
    </row>
    <row r="4" spans="1:8">
      <c r="A4" s="107" t="s">
        <v>7</v>
      </c>
      <c r="B4" s="108">
        <f>(Fonctionnalités!E14)</f>
        <v>0.53437500000000004</v>
      </c>
      <c r="C4" s="108">
        <f>'Assurance Qualité'!C59</f>
        <v>0.67</v>
      </c>
      <c r="D4" s="108">
        <f>B4*0.6+C4*0.4 - 0.1*E4</f>
        <v>0.58862499999999995</v>
      </c>
      <c r="E4" s="109"/>
      <c r="F4" s="110">
        <v>20</v>
      </c>
      <c r="G4" s="111">
        <f>D4*F4</f>
        <v>11.772499999999999</v>
      </c>
      <c r="H4" s="111">
        <f>Documents!B16*5</f>
        <v>3.3562499999999993</v>
      </c>
    </row>
    <row r="5" spans="1:8">
      <c r="A5" s="112" t="s">
        <v>8</v>
      </c>
      <c r="B5" s="113">
        <f>(Fonctionnalités!E25)</f>
        <v>0.82</v>
      </c>
      <c r="C5" s="113">
        <f>'Assurance Qualité'!F59</f>
        <v>0.73599999999999999</v>
      </c>
      <c r="D5" s="113">
        <f t="shared" ref="D5:D6" si="0">B5*0.6+C5*0.4 - 0.1*E5</f>
        <v>0.78639999999999999</v>
      </c>
      <c r="E5" s="114"/>
      <c r="F5" s="115">
        <v>20</v>
      </c>
      <c r="G5" s="116">
        <f t="shared" ref="G5:G7" si="1">D5*F5</f>
        <v>15.728</v>
      </c>
      <c r="H5" s="116">
        <f>Documents!E16*5</f>
        <v>2.8500000000000005</v>
      </c>
    </row>
    <row r="6" spans="1:8">
      <c r="A6" s="117" t="s">
        <v>9</v>
      </c>
      <c r="B6" s="118">
        <f>(Fonctionnalités!E38)</f>
        <v>0.96499999999999997</v>
      </c>
      <c r="C6" s="118">
        <f>'Assurance Qualité'!I59</f>
        <v>0.79749999999999999</v>
      </c>
      <c r="D6" s="118">
        <f t="shared" si="0"/>
        <v>0.89799999999999991</v>
      </c>
      <c r="E6" s="119"/>
      <c r="F6" s="120">
        <v>20</v>
      </c>
      <c r="G6" s="121">
        <f t="shared" si="1"/>
        <v>17.959999999999997</v>
      </c>
      <c r="H6" s="121"/>
    </row>
    <row r="7" spans="1:8">
      <c r="A7" s="122" t="s">
        <v>10</v>
      </c>
      <c r="B7" s="122"/>
      <c r="C7" s="122"/>
      <c r="D7" s="123">
        <v>0.7</v>
      </c>
      <c r="E7" s="124"/>
      <c r="F7" s="122">
        <v>5</v>
      </c>
      <c r="G7" s="125">
        <f t="shared" si="1"/>
        <v>3.5</v>
      </c>
      <c r="H7" s="12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Q59"/>
  <sheetViews>
    <sheetView topLeftCell="B52" zoomScaleNormal="100" workbookViewId="0">
      <selection activeCell="J36" sqref="J36"/>
    </sheetView>
  </sheetViews>
  <sheetFormatPr defaultColWidth="9.140625" defaultRowHeight="15"/>
  <cols>
    <col min="1" max="1" width="22.7109375" style="1" customWidth="1"/>
    <col min="2" max="2" width="77.5703125" style="10" customWidth="1"/>
    <col min="3" max="4" width="10.7109375" style="1" customWidth="1"/>
    <col min="5" max="5" width="34.140625" style="10" customWidth="1"/>
    <col min="6" max="7" width="10.7109375" customWidth="1"/>
    <col min="8" max="8" width="20.7109375" style="10" customWidth="1"/>
    <col min="9" max="10" width="10.7109375" customWidth="1"/>
    <col min="11" max="11" width="42.42578125" style="10" customWidth="1"/>
    <col min="12" max="13" width="12.7109375" customWidth="1"/>
    <col min="14" max="16" width="15.7109375" customWidth="1"/>
    <col min="17" max="1029" width="9.140625" bestFit="1" customWidth="1"/>
  </cols>
  <sheetData>
    <row r="2" spans="1:17" ht="18.399999999999999" customHeight="1">
      <c r="A2" s="265" t="s">
        <v>11</v>
      </c>
      <c r="B2" s="265"/>
      <c r="C2" s="265"/>
      <c r="D2" s="265"/>
      <c r="E2" s="265"/>
      <c r="F2" s="265"/>
      <c r="G2" s="265"/>
      <c r="H2" s="265"/>
      <c r="I2" s="265"/>
      <c r="J2" s="265"/>
      <c r="K2" s="265"/>
      <c r="L2" s="7"/>
      <c r="M2" s="7"/>
    </row>
    <row r="4" spans="1:17" ht="18.399999999999999" customHeight="1">
      <c r="A4" s="266" t="s">
        <v>12</v>
      </c>
      <c r="B4" s="266"/>
      <c r="C4" s="266"/>
      <c r="D4" s="266"/>
      <c r="E4" s="266"/>
      <c r="F4" s="266"/>
      <c r="G4" s="266"/>
      <c r="H4" s="266"/>
      <c r="I4" s="266"/>
      <c r="J4" s="266"/>
      <c r="K4" s="266"/>
      <c r="L4" s="4"/>
      <c r="M4" s="4"/>
    </row>
    <row r="5" spans="1:17" ht="18.75">
      <c r="A5" s="11"/>
      <c r="B5" s="41"/>
      <c r="C5" s="2"/>
      <c r="D5" s="2"/>
      <c r="E5" s="41"/>
      <c r="F5" s="2"/>
      <c r="G5" s="2"/>
      <c r="H5" s="41"/>
      <c r="I5" s="2"/>
      <c r="J5" s="2"/>
      <c r="K5" s="41"/>
      <c r="L5" s="2"/>
      <c r="M5" s="2"/>
    </row>
    <row r="6" spans="1:17" ht="18.399999999999999" customHeight="1">
      <c r="A6" s="258" t="s">
        <v>13</v>
      </c>
      <c r="B6" s="270" t="s">
        <v>14</v>
      </c>
      <c r="C6" s="260" t="s">
        <v>7</v>
      </c>
      <c r="D6" s="261"/>
      <c r="E6" s="261"/>
      <c r="F6" s="262" t="s">
        <v>8</v>
      </c>
      <c r="G6" s="263"/>
      <c r="H6" s="264"/>
      <c r="I6" s="267" t="s">
        <v>9</v>
      </c>
      <c r="J6" s="268"/>
      <c r="K6" s="269"/>
      <c r="L6" s="3"/>
      <c r="M6" s="3"/>
      <c r="N6" s="256"/>
      <c r="O6" s="257"/>
      <c r="P6" s="257"/>
    </row>
    <row r="7" spans="1:17" ht="18.75">
      <c r="A7" s="259"/>
      <c r="B7" s="271"/>
      <c r="C7" s="14" t="s">
        <v>15</v>
      </c>
      <c r="D7" s="15" t="s">
        <v>4</v>
      </c>
      <c r="E7" s="21" t="s">
        <v>16</v>
      </c>
      <c r="F7" s="16" t="s">
        <v>15</v>
      </c>
      <c r="G7" s="17" t="s">
        <v>4</v>
      </c>
      <c r="H7" s="20" t="s">
        <v>16</v>
      </c>
      <c r="I7" s="18" t="s">
        <v>15</v>
      </c>
      <c r="J7" s="19" t="s">
        <v>4</v>
      </c>
      <c r="K7" s="22" t="s">
        <v>16</v>
      </c>
      <c r="L7" s="3"/>
      <c r="M7" s="3"/>
      <c r="N7" s="40"/>
      <c r="O7" s="40"/>
      <c r="P7" s="40"/>
      <c r="Q7" s="40"/>
    </row>
    <row r="8" spans="1:17" ht="18.75">
      <c r="A8" s="240" t="s">
        <v>17</v>
      </c>
      <c r="B8" s="240"/>
      <c r="C8" s="233" t="s">
        <v>18</v>
      </c>
      <c r="D8" s="234"/>
      <c r="E8" s="46" t="s">
        <v>19</v>
      </c>
      <c r="F8" s="233" t="s">
        <v>18</v>
      </c>
      <c r="G8" s="234"/>
      <c r="H8" s="46" t="s">
        <v>19</v>
      </c>
      <c r="I8" s="233" t="s">
        <v>18</v>
      </c>
      <c r="J8" s="234"/>
      <c r="K8" s="46" t="s">
        <v>19</v>
      </c>
      <c r="L8" s="3"/>
      <c r="M8" s="3"/>
      <c r="N8" s="40"/>
      <c r="O8" s="40"/>
      <c r="P8" s="40"/>
      <c r="Q8" s="40"/>
    </row>
    <row r="9" spans="1:17" ht="76.5">
      <c r="A9" s="29" t="s">
        <v>20</v>
      </c>
      <c r="B9" s="29" t="s">
        <v>21</v>
      </c>
      <c r="C9" s="100">
        <v>0</v>
      </c>
      <c r="D9" s="98">
        <v>6</v>
      </c>
      <c r="E9" s="101" t="s">
        <v>22</v>
      </c>
      <c r="F9" s="102">
        <v>0.5</v>
      </c>
      <c r="G9" s="99">
        <v>6</v>
      </c>
      <c r="H9" s="103" t="s">
        <v>23</v>
      </c>
      <c r="I9" s="104">
        <v>0.25</v>
      </c>
      <c r="J9" s="105">
        <v>6</v>
      </c>
      <c r="K9" s="106" t="s">
        <v>24</v>
      </c>
      <c r="L9" s="3"/>
      <c r="M9" s="3"/>
      <c r="N9" s="40"/>
      <c r="O9" s="40"/>
      <c r="P9" s="40"/>
      <c r="Q9" s="40"/>
    </row>
    <row r="10" spans="1:17" ht="30.75">
      <c r="A10" s="23" t="s">
        <v>25</v>
      </c>
      <c r="B10" s="23" t="s">
        <v>26</v>
      </c>
      <c r="C10" s="100">
        <v>1</v>
      </c>
      <c r="D10" s="98">
        <v>2</v>
      </c>
      <c r="E10" s="101" t="s">
        <v>27</v>
      </c>
      <c r="F10" s="102">
        <v>1</v>
      </c>
      <c r="G10" s="99">
        <v>2</v>
      </c>
      <c r="H10" s="103" t="s">
        <v>27</v>
      </c>
      <c r="I10" s="104">
        <v>1</v>
      </c>
      <c r="J10" s="105">
        <v>2</v>
      </c>
      <c r="K10" s="106" t="s">
        <v>27</v>
      </c>
      <c r="L10" s="3"/>
      <c r="M10" s="3"/>
      <c r="N10" s="40"/>
      <c r="O10" s="40"/>
      <c r="P10" s="40"/>
      <c r="Q10" s="40"/>
    </row>
    <row r="11" spans="1:17" s="30" customFormat="1" ht="15.75">
      <c r="A11" s="235" t="s">
        <v>28</v>
      </c>
      <c r="B11" s="236"/>
      <c r="C11" s="47">
        <f>SUMPRODUCT(C6:C10,D6:D10)</f>
        <v>2</v>
      </c>
      <c r="D11" s="48">
        <f>SUM(D6:D10)</f>
        <v>8</v>
      </c>
      <c r="E11" s="49"/>
      <c r="F11" s="50">
        <f>SUMPRODUCT(F6:F10,G6:G10)</f>
        <v>5</v>
      </c>
      <c r="G11" s="51">
        <f>SUM(G6:G10)</f>
        <v>8</v>
      </c>
      <c r="H11" s="52"/>
      <c r="I11" s="53">
        <f>SUMPRODUCT(I6:I10,J6:J10)</f>
        <v>3.5</v>
      </c>
      <c r="J11" s="54">
        <f>SUM(J6:J10)</f>
        <v>8</v>
      </c>
      <c r="K11" s="55"/>
      <c r="L11" s="56"/>
      <c r="M11" s="56"/>
      <c r="N11" s="44"/>
      <c r="O11" s="44"/>
      <c r="P11" s="44"/>
      <c r="Q11" s="44"/>
    </row>
    <row r="12" spans="1:17" s="12" customFormat="1" ht="18.399999999999999" customHeight="1">
      <c r="A12" s="240" t="s">
        <v>29</v>
      </c>
      <c r="B12" s="240"/>
      <c r="C12" s="233" t="s">
        <v>18</v>
      </c>
      <c r="D12" s="234"/>
      <c r="E12" s="46" t="s">
        <v>19</v>
      </c>
      <c r="F12" s="233" t="s">
        <v>18</v>
      </c>
      <c r="G12" s="234"/>
      <c r="H12" s="46" t="s">
        <v>19</v>
      </c>
      <c r="I12" s="233" t="s">
        <v>18</v>
      </c>
      <c r="J12" s="234"/>
      <c r="K12" s="46" t="s">
        <v>19</v>
      </c>
      <c r="L12" s="4"/>
      <c r="M12" s="4"/>
      <c r="N12" s="43"/>
      <c r="O12" s="43"/>
      <c r="P12" s="43"/>
      <c r="Q12" s="43"/>
    </row>
    <row r="13" spans="1:17" ht="60.75">
      <c r="A13" s="29" t="s">
        <v>30</v>
      </c>
      <c r="B13" s="29" t="s">
        <v>31</v>
      </c>
      <c r="C13" s="79">
        <v>1</v>
      </c>
      <c r="D13" s="80">
        <v>3</v>
      </c>
      <c r="E13" s="81" t="s">
        <v>27</v>
      </c>
      <c r="F13" s="89">
        <v>0</v>
      </c>
      <c r="G13" s="90">
        <f>D13</f>
        <v>3</v>
      </c>
      <c r="H13" s="91" t="s">
        <v>32</v>
      </c>
      <c r="I13" s="92">
        <v>0</v>
      </c>
      <c r="J13" s="93">
        <f>G13</f>
        <v>3</v>
      </c>
      <c r="K13" s="94" t="s">
        <v>33</v>
      </c>
      <c r="L13" s="5"/>
      <c r="M13" s="5"/>
    </row>
    <row r="14" spans="1:17" ht="45.75">
      <c r="A14" s="23" t="s">
        <v>34</v>
      </c>
      <c r="B14" s="23" t="s">
        <v>35</v>
      </c>
      <c r="C14" s="83">
        <v>1</v>
      </c>
      <c r="D14" s="84">
        <v>2</v>
      </c>
      <c r="E14" s="85" t="s">
        <v>27</v>
      </c>
      <c r="F14" s="86">
        <v>1</v>
      </c>
      <c r="G14" s="90">
        <f t="shared" ref="G14:G17" si="0">D14</f>
        <v>2</v>
      </c>
      <c r="H14" s="88" t="s">
        <v>27</v>
      </c>
      <c r="I14" s="76">
        <v>1</v>
      </c>
      <c r="J14" s="93">
        <f t="shared" ref="J14:J17" si="1">G14</f>
        <v>2</v>
      </c>
      <c r="K14" s="78" t="s">
        <v>36</v>
      </c>
      <c r="L14" s="5"/>
      <c r="M14" s="5"/>
    </row>
    <row r="15" spans="1:17" ht="45.75">
      <c r="A15" s="23" t="s">
        <v>37</v>
      </c>
      <c r="B15" s="23" t="s">
        <v>38</v>
      </c>
      <c r="C15" s="83">
        <v>0</v>
      </c>
      <c r="D15" s="84">
        <v>2</v>
      </c>
      <c r="E15" s="85" t="s">
        <v>39</v>
      </c>
      <c r="F15" s="86">
        <v>0</v>
      </c>
      <c r="G15" s="90">
        <f t="shared" si="0"/>
        <v>2</v>
      </c>
      <c r="H15" s="88" t="s">
        <v>39</v>
      </c>
      <c r="I15" s="76">
        <v>0</v>
      </c>
      <c r="J15" s="93">
        <f t="shared" si="1"/>
        <v>2</v>
      </c>
      <c r="K15" s="78" t="s">
        <v>39</v>
      </c>
      <c r="L15" s="5"/>
      <c r="M15" s="5"/>
    </row>
    <row r="16" spans="1:17" ht="30.75">
      <c r="A16" s="23" t="s">
        <v>40</v>
      </c>
      <c r="B16" s="23" t="s">
        <v>41</v>
      </c>
      <c r="C16" s="83">
        <v>1</v>
      </c>
      <c r="D16" s="84">
        <v>4</v>
      </c>
      <c r="E16" s="85" t="s">
        <v>27</v>
      </c>
      <c r="F16" s="86">
        <v>1</v>
      </c>
      <c r="G16" s="90">
        <f t="shared" si="0"/>
        <v>4</v>
      </c>
      <c r="H16" s="88" t="s">
        <v>27</v>
      </c>
      <c r="I16" s="76">
        <v>0.5</v>
      </c>
      <c r="J16" s="93">
        <f t="shared" si="1"/>
        <v>4</v>
      </c>
      <c r="K16" s="78" t="s">
        <v>42</v>
      </c>
      <c r="L16" s="5"/>
      <c r="M16" s="5"/>
    </row>
    <row r="17" spans="1:17" ht="30.75">
      <c r="A17" s="23" t="s">
        <v>43</v>
      </c>
      <c r="B17" s="23" t="s">
        <v>44</v>
      </c>
      <c r="C17" s="83">
        <v>1</v>
      </c>
      <c r="D17" s="84">
        <v>4</v>
      </c>
      <c r="E17" s="85" t="s">
        <v>27</v>
      </c>
      <c r="F17" s="86">
        <v>1</v>
      </c>
      <c r="G17" s="90">
        <f t="shared" si="0"/>
        <v>4</v>
      </c>
      <c r="H17" s="88" t="s">
        <v>27</v>
      </c>
      <c r="I17" s="76">
        <v>1</v>
      </c>
      <c r="J17" s="93">
        <f t="shared" si="1"/>
        <v>4</v>
      </c>
      <c r="K17" s="78" t="s">
        <v>36</v>
      </c>
      <c r="L17" s="5"/>
      <c r="M17" s="5"/>
    </row>
    <row r="18" spans="1:17" s="30" customFormat="1" ht="15.75">
      <c r="A18" s="235" t="s">
        <v>28</v>
      </c>
      <c r="B18" s="236"/>
      <c r="C18" s="47">
        <f>SUMPRODUCT(C13:C17,D13:D17)</f>
        <v>13</v>
      </c>
      <c r="D18" s="48">
        <f>SUM(D13:D17)</f>
        <v>15</v>
      </c>
      <c r="E18" s="49"/>
      <c r="F18" s="50">
        <f>SUMPRODUCT(F13:F17,G13:G17)</f>
        <v>10</v>
      </c>
      <c r="G18" s="51">
        <f>SUM(G13:G17)</f>
        <v>15</v>
      </c>
      <c r="H18" s="52"/>
      <c r="I18" s="53">
        <f>SUMPRODUCT(I13:I17,J13:J17)</f>
        <v>8</v>
      </c>
      <c r="J18" s="54">
        <f>SUM(J13:J17)</f>
        <v>15</v>
      </c>
      <c r="K18" s="55"/>
      <c r="L18" s="56"/>
      <c r="M18" s="56"/>
      <c r="N18" s="44"/>
      <c r="O18" s="44"/>
      <c r="P18" s="44"/>
      <c r="Q18" s="44"/>
    </row>
    <row r="19" spans="1:17" s="43" customFormat="1" ht="18.399999999999999" customHeight="1">
      <c r="A19" s="272" t="s">
        <v>45</v>
      </c>
      <c r="B19" s="272"/>
      <c r="C19" s="233" t="s">
        <v>18</v>
      </c>
      <c r="D19" s="234"/>
      <c r="E19" s="46" t="s">
        <v>19</v>
      </c>
      <c r="F19" s="233" t="s">
        <v>18</v>
      </c>
      <c r="G19" s="234"/>
      <c r="H19" s="46" t="s">
        <v>19</v>
      </c>
      <c r="I19" s="233" t="s">
        <v>18</v>
      </c>
      <c r="J19" s="234"/>
      <c r="K19" s="46" t="s">
        <v>19</v>
      </c>
      <c r="L19" s="4"/>
      <c r="M19" s="4"/>
    </row>
    <row r="20" spans="1:17" ht="45.75">
      <c r="A20" s="23" t="s">
        <v>46</v>
      </c>
      <c r="B20" s="23" t="s">
        <v>47</v>
      </c>
      <c r="C20" s="83">
        <v>1</v>
      </c>
      <c r="D20" s="84">
        <v>3</v>
      </c>
      <c r="E20" s="85" t="s">
        <v>27</v>
      </c>
      <c r="F20" s="86">
        <v>0.5</v>
      </c>
      <c r="G20" s="87">
        <v>3</v>
      </c>
      <c r="H20" s="88" t="s">
        <v>48</v>
      </c>
      <c r="I20" s="76">
        <v>0.75</v>
      </c>
      <c r="J20" s="77">
        <v>3</v>
      </c>
      <c r="K20" s="78" t="s">
        <v>49</v>
      </c>
      <c r="L20" s="5"/>
      <c r="M20" s="5"/>
    </row>
    <row r="21" spans="1:17" ht="30.75">
      <c r="A21" s="23" t="s">
        <v>50</v>
      </c>
      <c r="B21" s="23" t="s">
        <v>51</v>
      </c>
      <c r="C21" s="83">
        <v>0.75</v>
      </c>
      <c r="D21" s="84">
        <v>3</v>
      </c>
      <c r="E21" s="85" t="s">
        <v>52</v>
      </c>
      <c r="F21" s="86">
        <v>1</v>
      </c>
      <c r="G21" s="87">
        <v>3</v>
      </c>
      <c r="H21" s="88" t="s">
        <v>27</v>
      </c>
      <c r="I21" s="76">
        <v>1</v>
      </c>
      <c r="J21" s="77">
        <v>3</v>
      </c>
      <c r="K21" s="78" t="s">
        <v>27</v>
      </c>
      <c r="L21" s="5"/>
      <c r="M21" s="5"/>
    </row>
    <row r="22" spans="1:17" s="44" customFormat="1" ht="15.75">
      <c r="A22" s="273" t="s">
        <v>28</v>
      </c>
      <c r="B22" s="255"/>
      <c r="C22" s="57">
        <f>SUMPRODUCT(C20:C21,D20:D21)</f>
        <v>5.25</v>
      </c>
      <c r="D22" s="58">
        <f>SUM(D20:D21)</f>
        <v>6</v>
      </c>
      <c r="E22" s="59"/>
      <c r="F22" s="60">
        <f>SUMPRODUCT(F20:F21,G20:G21)</f>
        <v>4.5</v>
      </c>
      <c r="G22" s="61">
        <f>SUM(G20:G21)</f>
        <v>6</v>
      </c>
      <c r="H22" s="62"/>
      <c r="I22" s="63">
        <f>SUMPRODUCT(I20:I21,J20:J21)</f>
        <v>5.25</v>
      </c>
      <c r="J22" s="64">
        <f>SUM(J20:J21)</f>
        <v>6</v>
      </c>
      <c r="K22" s="65"/>
      <c r="L22" s="56"/>
      <c r="M22" s="56"/>
    </row>
    <row r="23" spans="1:17" ht="18.75" customHeight="1">
      <c r="A23" s="213" t="s">
        <v>53</v>
      </c>
      <c r="B23" s="213"/>
      <c r="C23" s="233" t="s">
        <v>18</v>
      </c>
      <c r="D23" s="234"/>
      <c r="E23" s="46" t="s">
        <v>54</v>
      </c>
      <c r="F23" s="233" t="s">
        <v>18</v>
      </c>
      <c r="G23" s="234"/>
      <c r="H23" s="46" t="s">
        <v>54</v>
      </c>
      <c r="I23" s="233" t="s">
        <v>18</v>
      </c>
      <c r="J23" s="234"/>
      <c r="K23" s="46" t="s">
        <v>54</v>
      </c>
      <c r="L23" s="4"/>
      <c r="M23" s="4"/>
    </row>
    <row r="24" spans="1:17" ht="30.75">
      <c r="A24" s="42" t="s">
        <v>55</v>
      </c>
      <c r="B24" s="42" t="s">
        <v>56</v>
      </c>
      <c r="C24" s="97">
        <v>1</v>
      </c>
      <c r="D24" s="25">
        <v>1</v>
      </c>
      <c r="E24" s="26"/>
      <c r="F24" s="82">
        <v>1</v>
      </c>
      <c r="G24" s="27">
        <v>1</v>
      </c>
      <c r="H24" s="28"/>
      <c r="I24" s="73">
        <v>1</v>
      </c>
      <c r="J24" s="74">
        <v>1</v>
      </c>
      <c r="K24" s="75"/>
      <c r="L24" s="5"/>
      <c r="M24" s="5"/>
    </row>
    <row r="25" spans="1:17" ht="121.5">
      <c r="A25" s="23" t="s">
        <v>57</v>
      </c>
      <c r="B25" s="23" t="s">
        <v>58</v>
      </c>
      <c r="C25" s="83">
        <v>0</v>
      </c>
      <c r="D25" s="84">
        <v>2</v>
      </c>
      <c r="E25" s="85" t="s">
        <v>59</v>
      </c>
      <c r="F25" s="86">
        <v>0</v>
      </c>
      <c r="G25" s="87">
        <v>2</v>
      </c>
      <c r="H25" s="88" t="s">
        <v>59</v>
      </c>
      <c r="I25" s="76">
        <v>0</v>
      </c>
      <c r="J25" s="77">
        <v>2</v>
      </c>
      <c r="K25" s="78" t="s">
        <v>59</v>
      </c>
      <c r="L25" s="5"/>
      <c r="M25" s="5"/>
    </row>
    <row r="26" spans="1:17">
      <c r="A26" s="23" t="s">
        <v>60</v>
      </c>
      <c r="B26" s="23" t="s">
        <v>61</v>
      </c>
      <c r="C26" s="83">
        <v>1</v>
      </c>
      <c r="D26" s="84">
        <v>1</v>
      </c>
      <c r="E26" s="85"/>
      <c r="F26" s="86">
        <v>1</v>
      </c>
      <c r="G26" s="87">
        <v>1</v>
      </c>
      <c r="H26" s="88"/>
      <c r="I26" s="76">
        <v>1</v>
      </c>
      <c r="J26" s="77">
        <v>1</v>
      </c>
      <c r="K26" s="78"/>
      <c r="L26" s="5"/>
      <c r="M26" s="5"/>
    </row>
    <row r="27" spans="1:17" s="44" customFormat="1" ht="15.75">
      <c r="A27" s="254" t="s">
        <v>28</v>
      </c>
      <c r="B27" s="255"/>
      <c r="C27" s="47">
        <f>SUMPRODUCT(C24:C26,D24:D26)</f>
        <v>2</v>
      </c>
      <c r="D27" s="48">
        <f>SUM(D24:D26)</f>
        <v>4</v>
      </c>
      <c r="E27" s="49"/>
      <c r="F27" s="60">
        <f>SUMPRODUCT(F24:F26,G24:G26)</f>
        <v>2</v>
      </c>
      <c r="G27" s="61">
        <f>SUM(G24:G26)</f>
        <v>4</v>
      </c>
      <c r="H27" s="62"/>
      <c r="I27" s="63">
        <f>SUMPRODUCT(I24:I26,J24:J26)</f>
        <v>2</v>
      </c>
      <c r="J27" s="64">
        <f>SUM(J24:J26)</f>
        <v>4</v>
      </c>
      <c r="K27" s="65"/>
      <c r="L27" s="56"/>
      <c r="M27" s="56"/>
    </row>
    <row r="28" spans="1:17" ht="21" customHeight="1">
      <c r="A28" s="272" t="s">
        <v>62</v>
      </c>
      <c r="B28" s="272"/>
      <c r="C28" s="233" t="s">
        <v>18</v>
      </c>
      <c r="D28" s="234"/>
      <c r="E28" s="46" t="s">
        <v>63</v>
      </c>
      <c r="F28" s="233" t="s">
        <v>18</v>
      </c>
      <c r="G28" s="234"/>
      <c r="H28" s="66" t="s">
        <v>63</v>
      </c>
      <c r="I28" s="233" t="s">
        <v>18</v>
      </c>
      <c r="J28" s="234"/>
      <c r="K28" s="46" t="s">
        <v>63</v>
      </c>
      <c r="L28" s="9"/>
      <c r="M28" s="4"/>
    </row>
    <row r="29" spans="1:17" ht="121.5">
      <c r="A29" s="31" t="s">
        <v>64</v>
      </c>
      <c r="B29" s="31" t="s">
        <v>65</v>
      </c>
      <c r="C29" s="79">
        <v>0.75</v>
      </c>
      <c r="D29" s="80">
        <v>2</v>
      </c>
      <c r="E29" s="81" t="s">
        <v>66</v>
      </c>
      <c r="F29" s="89">
        <v>1</v>
      </c>
      <c r="G29" s="90">
        <f>D29</f>
        <v>2</v>
      </c>
      <c r="H29" s="95"/>
      <c r="I29" s="92">
        <v>1</v>
      </c>
      <c r="J29" s="93">
        <f>D29</f>
        <v>2</v>
      </c>
      <c r="K29" s="94"/>
      <c r="L29" s="5"/>
      <c r="M29" s="5"/>
    </row>
    <row r="30" spans="1:17">
      <c r="A30" s="24" t="s">
        <v>67</v>
      </c>
      <c r="B30" s="24" t="s">
        <v>68</v>
      </c>
      <c r="C30" s="83">
        <v>1</v>
      </c>
      <c r="D30" s="84">
        <v>2</v>
      </c>
      <c r="E30" s="85"/>
      <c r="F30" s="86">
        <v>1</v>
      </c>
      <c r="G30" s="90">
        <f t="shared" ref="G30:G31" si="2">D30</f>
        <v>2</v>
      </c>
      <c r="H30" s="96"/>
      <c r="I30" s="76">
        <v>1</v>
      </c>
      <c r="J30" s="93">
        <f t="shared" ref="J30:J31" si="3">D30</f>
        <v>2</v>
      </c>
      <c r="K30" s="78"/>
      <c r="L30" s="5"/>
      <c r="M30" s="5"/>
    </row>
    <row r="31" spans="1:17" ht="30.75">
      <c r="A31" s="24" t="s">
        <v>69</v>
      </c>
      <c r="B31" s="24" t="s">
        <v>70</v>
      </c>
      <c r="C31" s="83">
        <v>0.75</v>
      </c>
      <c r="D31" s="84">
        <v>2</v>
      </c>
      <c r="E31" s="85" t="s">
        <v>71</v>
      </c>
      <c r="F31" s="86">
        <v>1</v>
      </c>
      <c r="G31" s="90">
        <f t="shared" si="2"/>
        <v>2</v>
      </c>
      <c r="H31" s="96"/>
      <c r="I31" s="76">
        <v>1</v>
      </c>
      <c r="J31" s="93">
        <f t="shared" si="3"/>
        <v>2</v>
      </c>
      <c r="K31" s="78"/>
      <c r="L31" s="5"/>
      <c r="M31" s="5"/>
    </row>
    <row r="32" spans="1:17" s="44" customFormat="1" ht="15.75">
      <c r="A32" s="235" t="s">
        <v>28</v>
      </c>
      <c r="B32" s="236"/>
      <c r="C32" s="47">
        <f>SUMPRODUCT(C29:C31,D29:D31)</f>
        <v>5</v>
      </c>
      <c r="D32" s="48">
        <f>SUM(D29:D31)</f>
        <v>6</v>
      </c>
      <c r="E32" s="49"/>
      <c r="F32" s="50">
        <f>SUMPRODUCT(F29:F31,G29:G31)</f>
        <v>6</v>
      </c>
      <c r="G32" s="51">
        <f>SUM(G29:G31)</f>
        <v>6</v>
      </c>
      <c r="H32" s="67"/>
      <c r="I32" s="63">
        <f>SUMPRODUCT(I29:I31,J29:J31)</f>
        <v>6</v>
      </c>
      <c r="J32" s="64">
        <f>SUM(J29:J31)</f>
        <v>6</v>
      </c>
      <c r="K32" s="65"/>
      <c r="L32" s="56"/>
      <c r="M32" s="56"/>
    </row>
    <row r="33" spans="1:13" ht="18.75" customHeight="1">
      <c r="A33" s="240" t="s">
        <v>72</v>
      </c>
      <c r="B33" s="240"/>
      <c r="C33" s="233" t="s">
        <v>18</v>
      </c>
      <c r="D33" s="234"/>
      <c r="E33" s="46" t="s">
        <v>54</v>
      </c>
      <c r="F33" s="233" t="s">
        <v>18</v>
      </c>
      <c r="G33" s="234"/>
      <c r="H33" s="46" t="s">
        <v>54</v>
      </c>
      <c r="I33" s="68" t="s">
        <v>18</v>
      </c>
      <c r="J33" s="66"/>
      <c r="K33" s="46" t="s">
        <v>54</v>
      </c>
      <c r="L33" s="8"/>
      <c r="M33" s="4"/>
    </row>
    <row r="34" spans="1:13" ht="76.5">
      <c r="A34" s="29" t="s">
        <v>73</v>
      </c>
      <c r="B34" s="29" t="s">
        <v>74</v>
      </c>
      <c r="C34" s="79">
        <v>0</v>
      </c>
      <c r="D34" s="80">
        <v>2</v>
      </c>
      <c r="E34" s="81" t="s">
        <v>75</v>
      </c>
      <c r="F34" s="89">
        <v>1</v>
      </c>
      <c r="G34" s="90">
        <v>2</v>
      </c>
      <c r="H34" s="91"/>
      <c r="I34" s="92">
        <v>1</v>
      </c>
      <c r="J34" s="93">
        <v>2</v>
      </c>
      <c r="K34" s="94"/>
      <c r="L34" s="5"/>
      <c r="M34" s="5"/>
    </row>
    <row r="35" spans="1:13">
      <c r="A35" s="23" t="s">
        <v>76</v>
      </c>
      <c r="B35" s="23" t="s">
        <v>77</v>
      </c>
      <c r="C35" s="83">
        <v>1</v>
      </c>
      <c r="D35" s="84">
        <v>2</v>
      </c>
      <c r="E35" s="85"/>
      <c r="F35" s="86">
        <v>1</v>
      </c>
      <c r="G35" s="87">
        <v>2</v>
      </c>
      <c r="H35" s="88"/>
      <c r="I35" s="76">
        <v>1</v>
      </c>
      <c r="J35" s="77">
        <v>2</v>
      </c>
      <c r="K35" s="78"/>
      <c r="L35" s="5"/>
      <c r="M35" s="5"/>
    </row>
    <row r="36" spans="1:13" ht="152.25">
      <c r="A36" s="23" t="s">
        <v>78</v>
      </c>
      <c r="B36" s="23" t="s">
        <v>79</v>
      </c>
      <c r="C36" s="83">
        <v>0.25</v>
      </c>
      <c r="D36" s="84">
        <v>3</v>
      </c>
      <c r="E36" s="85" t="s">
        <v>80</v>
      </c>
      <c r="F36" s="86">
        <v>0.25</v>
      </c>
      <c r="G36" s="87">
        <v>3</v>
      </c>
      <c r="H36" s="88" t="s">
        <v>81</v>
      </c>
      <c r="I36" s="76">
        <v>1</v>
      </c>
      <c r="J36" s="77">
        <v>3</v>
      </c>
      <c r="K36" s="78"/>
      <c r="L36" s="5"/>
      <c r="M36" s="5"/>
    </row>
    <row r="37" spans="1:13" ht="152.25">
      <c r="A37" s="23" t="s">
        <v>82</v>
      </c>
      <c r="B37" s="23" t="s">
        <v>83</v>
      </c>
      <c r="C37" s="83">
        <v>1</v>
      </c>
      <c r="D37" s="84">
        <v>3</v>
      </c>
      <c r="E37" s="85"/>
      <c r="F37" s="86">
        <v>0.25</v>
      </c>
      <c r="G37" s="87">
        <v>3</v>
      </c>
      <c r="H37" s="88" t="s">
        <v>84</v>
      </c>
      <c r="I37" s="76">
        <v>1</v>
      </c>
      <c r="J37" s="77">
        <v>3</v>
      </c>
      <c r="K37" s="78"/>
      <c r="L37" s="5"/>
      <c r="M37" s="5"/>
    </row>
    <row r="38" spans="1:13" s="44" customFormat="1" ht="15.75">
      <c r="A38" s="235" t="s">
        <v>28</v>
      </c>
      <c r="B38" s="236"/>
      <c r="C38" s="69">
        <f>SUMPRODUCT(C34:C37,D34:D37)</f>
        <v>5.75</v>
      </c>
      <c r="D38" s="48">
        <f>SUM(D34:D37)</f>
        <v>10</v>
      </c>
      <c r="E38" s="49"/>
      <c r="F38" s="70">
        <f>SUMPRODUCT(F34:F37,G34:G37)</f>
        <v>5.5</v>
      </c>
      <c r="G38" s="51">
        <f>SUM(G34:G37)</f>
        <v>10</v>
      </c>
      <c r="H38" s="52"/>
      <c r="I38" s="63">
        <f>SUMPRODUCT(I34:I37,J34:J37)</f>
        <v>10</v>
      </c>
      <c r="J38" s="64">
        <f>SUM(J34:J37)</f>
        <v>10</v>
      </c>
      <c r="K38" s="65"/>
      <c r="L38" s="56"/>
      <c r="M38" s="56"/>
    </row>
    <row r="39" spans="1:13" ht="18.75" customHeight="1">
      <c r="A39" s="45" t="s">
        <v>85</v>
      </c>
      <c r="B39" s="45"/>
      <c r="C39" s="233" t="s">
        <v>18</v>
      </c>
      <c r="D39" s="234"/>
      <c r="E39" s="66" t="s">
        <v>86</v>
      </c>
      <c r="F39" s="233" t="s">
        <v>18</v>
      </c>
      <c r="G39" s="234"/>
      <c r="H39" s="46" t="s">
        <v>86</v>
      </c>
      <c r="I39" s="233" t="s">
        <v>18</v>
      </c>
      <c r="J39" s="234"/>
      <c r="K39" s="46" t="s">
        <v>86</v>
      </c>
      <c r="L39" s="4"/>
      <c r="M39" s="4"/>
    </row>
    <row r="40" spans="1:13" ht="60.75">
      <c r="A40" s="23" t="s">
        <v>87</v>
      </c>
      <c r="B40" s="23" t="s">
        <v>88</v>
      </c>
      <c r="C40" s="83">
        <v>1</v>
      </c>
      <c r="D40" s="84">
        <v>2</v>
      </c>
      <c r="E40" s="85" t="s">
        <v>89</v>
      </c>
      <c r="F40" s="86">
        <v>1</v>
      </c>
      <c r="G40" s="87">
        <f>D40</f>
        <v>2</v>
      </c>
      <c r="H40" s="88" t="s">
        <v>27</v>
      </c>
      <c r="I40" s="76">
        <v>1</v>
      </c>
      <c r="J40" s="77">
        <f>D40</f>
        <v>2</v>
      </c>
      <c r="K40" s="78" t="s">
        <v>89</v>
      </c>
      <c r="L40" s="5"/>
      <c r="M40" s="5"/>
    </row>
    <row r="41" spans="1:13" ht="409.6">
      <c r="A41" s="23" t="s">
        <v>90</v>
      </c>
      <c r="B41" s="23" t="s">
        <v>91</v>
      </c>
      <c r="C41" s="83">
        <v>0</v>
      </c>
      <c r="D41" s="84">
        <v>2</v>
      </c>
      <c r="E41" s="85" t="s">
        <v>92</v>
      </c>
      <c r="F41" s="86">
        <v>0</v>
      </c>
      <c r="G41" s="87">
        <f t="shared" ref="G41:G48" si="4">D41</f>
        <v>2</v>
      </c>
      <c r="H41" s="88" t="s">
        <v>93</v>
      </c>
      <c r="I41" s="76">
        <v>1</v>
      </c>
      <c r="J41" s="77">
        <f t="shared" ref="J41:J48" si="5">D41</f>
        <v>2</v>
      </c>
      <c r="K41" s="78" t="s">
        <v>89</v>
      </c>
      <c r="L41" s="5"/>
      <c r="M41" s="5"/>
    </row>
    <row r="42" spans="1:13">
      <c r="A42" s="23" t="s">
        <v>94</v>
      </c>
      <c r="B42" s="23" t="s">
        <v>95</v>
      </c>
      <c r="C42" s="83">
        <v>1</v>
      </c>
      <c r="D42" s="84">
        <v>2</v>
      </c>
      <c r="E42" s="85" t="s">
        <v>89</v>
      </c>
      <c r="F42" s="86">
        <v>1</v>
      </c>
      <c r="G42" s="87">
        <f t="shared" si="4"/>
        <v>2</v>
      </c>
      <c r="H42" s="88" t="s">
        <v>27</v>
      </c>
      <c r="I42" s="76">
        <v>1</v>
      </c>
      <c r="J42" s="77">
        <f t="shared" si="5"/>
        <v>2</v>
      </c>
      <c r="K42" s="78" t="s">
        <v>89</v>
      </c>
      <c r="L42" s="5"/>
    </row>
    <row r="43" spans="1:13" ht="76.5">
      <c r="A43" s="23" t="s">
        <v>96</v>
      </c>
      <c r="B43" s="23" t="s">
        <v>97</v>
      </c>
      <c r="C43" s="83">
        <v>0.75</v>
      </c>
      <c r="D43" s="84">
        <v>4</v>
      </c>
      <c r="E43" s="85" t="s">
        <v>98</v>
      </c>
      <c r="F43" s="86">
        <v>0.9</v>
      </c>
      <c r="G43" s="87">
        <f t="shared" si="4"/>
        <v>4</v>
      </c>
      <c r="H43" s="88" t="s">
        <v>99</v>
      </c>
      <c r="I43" s="76">
        <v>1</v>
      </c>
      <c r="J43" s="77">
        <f t="shared" si="5"/>
        <v>4</v>
      </c>
      <c r="K43" s="78" t="s">
        <v>89</v>
      </c>
      <c r="L43" s="5"/>
      <c r="M43" s="5"/>
    </row>
    <row r="44" spans="1:13" ht="409.6">
      <c r="A44" s="23" t="s">
        <v>100</v>
      </c>
      <c r="B44" s="23" t="s">
        <v>101</v>
      </c>
      <c r="C44" s="83">
        <v>0.75</v>
      </c>
      <c r="D44" s="84">
        <v>6</v>
      </c>
      <c r="E44" s="85" t="s">
        <v>102</v>
      </c>
      <c r="F44" s="86">
        <v>0</v>
      </c>
      <c r="G44" s="87">
        <f>D44</f>
        <v>6</v>
      </c>
      <c r="H44" s="88" t="s">
        <v>103</v>
      </c>
      <c r="I44" s="76">
        <v>0</v>
      </c>
      <c r="J44" s="77">
        <f>D44</f>
        <v>6</v>
      </c>
      <c r="K44" s="78" t="s">
        <v>104</v>
      </c>
      <c r="L44" s="5"/>
      <c r="M44" s="5"/>
    </row>
    <row r="45" spans="1:13" ht="77.25">
      <c r="A45" s="23" t="s">
        <v>105</v>
      </c>
      <c r="B45" s="23" t="s">
        <v>106</v>
      </c>
      <c r="C45" s="83">
        <v>0.5</v>
      </c>
      <c r="D45" s="84">
        <v>8</v>
      </c>
      <c r="E45" s="85" t="s">
        <v>107</v>
      </c>
      <c r="F45" s="86">
        <v>1</v>
      </c>
      <c r="G45" s="87">
        <f t="shared" si="4"/>
        <v>8</v>
      </c>
      <c r="H45" s="88" t="s">
        <v>27</v>
      </c>
      <c r="I45" s="76">
        <v>1</v>
      </c>
      <c r="J45" s="77">
        <f t="shared" si="5"/>
        <v>8</v>
      </c>
      <c r="K45" s="78" t="s">
        <v>89</v>
      </c>
      <c r="L45" s="5"/>
      <c r="M45" s="5"/>
    </row>
    <row r="46" spans="1:13" ht="30.75">
      <c r="A46" s="23" t="s">
        <v>108</v>
      </c>
      <c r="B46" s="23" t="s">
        <v>109</v>
      </c>
      <c r="C46" s="83">
        <v>1</v>
      </c>
      <c r="D46" s="84">
        <v>6</v>
      </c>
      <c r="E46" s="85" t="s">
        <v>89</v>
      </c>
      <c r="F46" s="86">
        <v>1</v>
      </c>
      <c r="G46" s="87">
        <f t="shared" si="4"/>
        <v>6</v>
      </c>
      <c r="H46" s="88" t="s">
        <v>27</v>
      </c>
      <c r="I46" s="76">
        <v>1</v>
      </c>
      <c r="J46" s="77">
        <f t="shared" si="5"/>
        <v>6</v>
      </c>
      <c r="K46" s="78" t="s">
        <v>89</v>
      </c>
      <c r="L46" s="5"/>
      <c r="M46" s="5"/>
    </row>
    <row r="47" spans="1:13" ht="76.5">
      <c r="A47" s="23" t="s">
        <v>110</v>
      </c>
      <c r="B47" s="23" t="s">
        <v>111</v>
      </c>
      <c r="C47" s="83">
        <v>1</v>
      </c>
      <c r="D47" s="84">
        <v>6</v>
      </c>
      <c r="E47" s="85" t="s">
        <v>89</v>
      </c>
      <c r="F47" s="86">
        <v>1</v>
      </c>
      <c r="G47" s="87">
        <f t="shared" si="4"/>
        <v>6</v>
      </c>
      <c r="H47" s="88" t="s">
        <v>27</v>
      </c>
      <c r="I47" s="76">
        <v>1</v>
      </c>
      <c r="J47" s="77">
        <f t="shared" si="5"/>
        <v>6</v>
      </c>
      <c r="K47" s="78" t="s">
        <v>89</v>
      </c>
      <c r="L47" s="5"/>
      <c r="M47" s="5"/>
    </row>
    <row r="48" spans="1:13">
      <c r="A48" s="13" t="s">
        <v>112</v>
      </c>
      <c r="B48" s="23" t="s">
        <v>113</v>
      </c>
      <c r="C48" s="83">
        <v>0</v>
      </c>
      <c r="D48" s="84">
        <v>4</v>
      </c>
      <c r="E48" s="85" t="s">
        <v>114</v>
      </c>
      <c r="F48" s="86">
        <v>1</v>
      </c>
      <c r="G48" s="87">
        <f t="shared" si="4"/>
        <v>4</v>
      </c>
      <c r="H48" s="88" t="s">
        <v>27</v>
      </c>
      <c r="I48" s="76">
        <v>1</v>
      </c>
      <c r="J48" s="77">
        <f t="shared" si="5"/>
        <v>4</v>
      </c>
      <c r="K48" s="78" t="s">
        <v>89</v>
      </c>
      <c r="L48" s="5"/>
      <c r="M48" s="5"/>
    </row>
    <row r="49" spans="1:17" s="30" customFormat="1" ht="15.75">
      <c r="A49" s="235" t="s">
        <v>28</v>
      </c>
      <c r="B49" s="236"/>
      <c r="C49" s="71">
        <f>SUMPRODUCT(C40:C48,D40:D48)</f>
        <v>27.5</v>
      </c>
      <c r="D49" s="58">
        <f>SUM(D40:D48)</f>
        <v>40</v>
      </c>
      <c r="E49" s="59"/>
      <c r="F49" s="70">
        <f>SUMPRODUCT(F40:F48,G40:G48)</f>
        <v>31.6</v>
      </c>
      <c r="G49" s="51">
        <f>SUM(G40:G48)</f>
        <v>40</v>
      </c>
      <c r="H49" s="52"/>
      <c r="I49" s="53">
        <f>SUMPRODUCT(I40:I48,J40:J48)</f>
        <v>34</v>
      </c>
      <c r="J49" s="54">
        <f>SUM(J40:J48)</f>
        <v>40</v>
      </c>
      <c r="K49" s="55"/>
      <c r="L49" s="56"/>
      <c r="M49" s="56"/>
      <c r="N49" s="44"/>
      <c r="O49" s="44"/>
      <c r="P49" s="44"/>
      <c r="Q49" s="44"/>
    </row>
    <row r="50" spans="1:17" ht="18.399999999999999" customHeight="1">
      <c r="A50" s="240" t="s">
        <v>115</v>
      </c>
      <c r="B50" s="240"/>
      <c r="C50" s="233" t="s">
        <v>18</v>
      </c>
      <c r="D50" s="234"/>
      <c r="E50" s="46" t="s">
        <v>63</v>
      </c>
      <c r="F50" s="233" t="s">
        <v>18</v>
      </c>
      <c r="G50" s="234"/>
      <c r="H50" s="46" t="s">
        <v>63</v>
      </c>
      <c r="I50" s="233" t="s">
        <v>18</v>
      </c>
      <c r="J50" s="234"/>
      <c r="K50" s="46" t="s">
        <v>63</v>
      </c>
      <c r="L50" s="8"/>
      <c r="M50" s="4"/>
    </row>
    <row r="51" spans="1:17">
      <c r="A51" s="29" t="s">
        <v>116</v>
      </c>
      <c r="B51" s="29" t="s">
        <v>117</v>
      </c>
      <c r="C51" s="79">
        <v>1</v>
      </c>
      <c r="D51" s="80">
        <v>2</v>
      </c>
      <c r="E51" s="81"/>
      <c r="F51" s="82">
        <v>1</v>
      </c>
      <c r="G51" s="27">
        <v>2</v>
      </c>
      <c r="H51" s="28"/>
      <c r="I51" s="73">
        <v>1</v>
      </c>
      <c r="J51" s="74">
        <v>2</v>
      </c>
      <c r="K51" s="75"/>
      <c r="L51" s="5"/>
      <c r="M51" s="5"/>
    </row>
    <row r="52" spans="1:17" ht="183">
      <c r="A52" s="23" t="s">
        <v>118</v>
      </c>
      <c r="B52" s="23" t="s">
        <v>119</v>
      </c>
      <c r="C52" s="83">
        <v>0</v>
      </c>
      <c r="D52" s="84">
        <v>2</v>
      </c>
      <c r="E52" s="85" t="s">
        <v>120</v>
      </c>
      <c r="F52" s="86">
        <v>1</v>
      </c>
      <c r="G52" s="87">
        <v>2</v>
      </c>
      <c r="H52" s="88"/>
      <c r="I52" s="76">
        <v>1</v>
      </c>
      <c r="J52" s="77">
        <v>2</v>
      </c>
      <c r="K52" s="78"/>
      <c r="L52" s="5"/>
      <c r="M52" s="5"/>
    </row>
    <row r="53" spans="1:17" ht="30.75">
      <c r="A53" s="23" t="s">
        <v>121</v>
      </c>
      <c r="B53" s="23" t="s">
        <v>122</v>
      </c>
      <c r="C53" s="83">
        <v>1</v>
      </c>
      <c r="D53" s="84">
        <v>1</v>
      </c>
      <c r="E53" s="85"/>
      <c r="F53" s="86">
        <v>1</v>
      </c>
      <c r="G53" s="87">
        <v>1</v>
      </c>
      <c r="H53" s="88"/>
      <c r="I53" s="76">
        <v>1</v>
      </c>
      <c r="J53" s="77">
        <v>1</v>
      </c>
      <c r="K53" s="78"/>
      <c r="L53" s="5"/>
      <c r="M53" s="5"/>
    </row>
    <row r="54" spans="1:17" ht="60.75">
      <c r="A54" s="23" t="s">
        <v>123</v>
      </c>
      <c r="B54" s="23" t="s">
        <v>124</v>
      </c>
      <c r="C54" s="83">
        <v>0.5</v>
      </c>
      <c r="D54" s="84">
        <v>4</v>
      </c>
      <c r="E54" s="85" t="s">
        <v>125</v>
      </c>
      <c r="F54" s="86">
        <v>0.75</v>
      </c>
      <c r="G54" s="87">
        <v>4</v>
      </c>
      <c r="H54" s="88" t="s">
        <v>126</v>
      </c>
      <c r="I54" s="76">
        <v>1</v>
      </c>
      <c r="J54" s="77">
        <v>4</v>
      </c>
      <c r="K54" s="78"/>
      <c r="L54" s="5"/>
      <c r="M54" s="5"/>
    </row>
    <row r="55" spans="1:17" ht="76.5">
      <c r="A55" s="23" t="s">
        <v>127</v>
      </c>
      <c r="B55" s="23" t="s">
        <v>128</v>
      </c>
      <c r="C55" s="83">
        <v>0.75</v>
      </c>
      <c r="D55" s="84">
        <v>2</v>
      </c>
      <c r="E55" s="85" t="s">
        <v>129</v>
      </c>
      <c r="F55" s="86">
        <v>0.5</v>
      </c>
      <c r="G55" s="87">
        <v>2</v>
      </c>
      <c r="H55" s="88" t="s">
        <v>130</v>
      </c>
      <c r="I55" s="76">
        <v>1</v>
      </c>
      <c r="J55" s="77">
        <v>2</v>
      </c>
      <c r="K55" s="78"/>
      <c r="L55" s="6"/>
      <c r="M55" s="5"/>
    </row>
    <row r="56" spans="1:17" s="44" customFormat="1" ht="15.75">
      <c r="A56" s="235" t="s">
        <v>28</v>
      </c>
      <c r="B56" s="236"/>
      <c r="C56" s="57">
        <f>SUMPRODUCT(C51:C55,D51:D55)</f>
        <v>6.5</v>
      </c>
      <c r="D56" s="58">
        <f>SUM(D51:D55)</f>
        <v>11</v>
      </c>
      <c r="E56" s="59"/>
      <c r="F56" s="60">
        <f>SUMPRODUCT(F51:F55,G51:G55)</f>
        <v>9</v>
      </c>
      <c r="G56" s="61">
        <f>SUM(G51:G55)</f>
        <v>11</v>
      </c>
      <c r="H56" s="62"/>
      <c r="I56" s="53">
        <f>SUMPRODUCT(I51:I55,J51:J55)</f>
        <v>11</v>
      </c>
      <c r="J56" s="54">
        <f>SUM(J51:J55)</f>
        <v>11</v>
      </c>
      <c r="K56" s="55"/>
      <c r="L56" s="56"/>
      <c r="M56" s="56"/>
    </row>
    <row r="57" spans="1:17" ht="18.75" customHeight="1">
      <c r="A57" s="237" t="s">
        <v>2</v>
      </c>
      <c r="B57" s="238"/>
      <c r="C57" s="238"/>
      <c r="D57" s="238"/>
      <c r="E57" s="238"/>
      <c r="F57" s="238"/>
      <c r="G57" s="238"/>
      <c r="H57" s="238"/>
      <c r="I57" s="238"/>
      <c r="J57" s="238"/>
      <c r="K57" s="239"/>
      <c r="L57" s="4"/>
      <c r="M57" s="4"/>
    </row>
    <row r="58" spans="1:17">
      <c r="A58" s="241" t="s">
        <v>131</v>
      </c>
      <c r="B58" s="242"/>
      <c r="C58" s="34">
        <f>C11+C18+C22+C27+C32+C38+C49+C56</f>
        <v>67</v>
      </c>
      <c r="D58" s="25">
        <f>D11+D18+D22+D27+D32+D38+D49+D56</f>
        <v>100</v>
      </c>
      <c r="E58" s="26"/>
      <c r="F58" s="35">
        <f>F11+F18+F22+F27+F32+F38+F49+F56</f>
        <v>73.599999999999994</v>
      </c>
      <c r="G58" s="27">
        <f>G11+G18+G22+G27+G32+G38+G49+G56</f>
        <v>100</v>
      </c>
      <c r="H58" s="28"/>
      <c r="I58" s="212">
        <f>I11+I18+I22+I27+I32+I38+I49+I56</f>
        <v>79.75</v>
      </c>
      <c r="J58" s="32">
        <f>J11+J18+J22+J27+J32+J38+J49+J56</f>
        <v>100</v>
      </c>
      <c r="K58" s="33"/>
      <c r="L58" s="6"/>
      <c r="M58" s="5"/>
    </row>
    <row r="59" spans="1:17" s="44" customFormat="1" ht="15.75">
      <c r="A59" s="243" t="s">
        <v>132</v>
      </c>
      <c r="B59" s="244"/>
      <c r="C59" s="245">
        <f>C58/D58</f>
        <v>0.67</v>
      </c>
      <c r="D59" s="246"/>
      <c r="E59" s="247"/>
      <c r="F59" s="248">
        <f>F58/G58</f>
        <v>0.73599999999999999</v>
      </c>
      <c r="G59" s="249"/>
      <c r="H59" s="250"/>
      <c r="I59" s="251">
        <f>I58/J58</f>
        <v>0.79749999999999999</v>
      </c>
      <c r="J59" s="252"/>
      <c r="K59" s="253"/>
      <c r="L59" s="72"/>
      <c r="M59" s="72"/>
    </row>
  </sheetData>
  <mergeCells count="51">
    <mergeCell ref="A2:K2"/>
    <mergeCell ref="A4:K4"/>
    <mergeCell ref="I6:K6"/>
    <mergeCell ref="B6:B7"/>
    <mergeCell ref="A28:B28"/>
    <mergeCell ref="C28:D28"/>
    <mergeCell ref="F28:G28"/>
    <mergeCell ref="A19:B19"/>
    <mergeCell ref="A18:B18"/>
    <mergeCell ref="A22:B22"/>
    <mergeCell ref="C23:D23"/>
    <mergeCell ref="F23:G23"/>
    <mergeCell ref="I23:J23"/>
    <mergeCell ref="C12:D12"/>
    <mergeCell ref="F12:G12"/>
    <mergeCell ref="C8:D8"/>
    <mergeCell ref="A27:B27"/>
    <mergeCell ref="A33:B33"/>
    <mergeCell ref="N6:P6"/>
    <mergeCell ref="A6:A7"/>
    <mergeCell ref="C6:E6"/>
    <mergeCell ref="F6:H6"/>
    <mergeCell ref="F8:G8"/>
    <mergeCell ref="I8:J8"/>
    <mergeCell ref="I12:J12"/>
    <mergeCell ref="C19:D19"/>
    <mergeCell ref="F19:G19"/>
    <mergeCell ref="I19:J19"/>
    <mergeCell ref="A11:B11"/>
    <mergeCell ref="A12:B12"/>
    <mergeCell ref="A8:B8"/>
    <mergeCell ref="I28:J28"/>
    <mergeCell ref="A58:B58"/>
    <mergeCell ref="A59:B59"/>
    <mergeCell ref="C59:E59"/>
    <mergeCell ref="F59:H59"/>
    <mergeCell ref="I59:K59"/>
    <mergeCell ref="A57:K57"/>
    <mergeCell ref="C39:D39"/>
    <mergeCell ref="F39:G39"/>
    <mergeCell ref="I39:J39"/>
    <mergeCell ref="A50:B50"/>
    <mergeCell ref="C50:D50"/>
    <mergeCell ref="F50:G50"/>
    <mergeCell ref="I50:J50"/>
    <mergeCell ref="A49:B49"/>
    <mergeCell ref="C33:D33"/>
    <mergeCell ref="F33:G33"/>
    <mergeCell ref="A38:B38"/>
    <mergeCell ref="A32:B32"/>
    <mergeCell ref="A56:B56"/>
  </mergeCells>
  <dataValidations count="2">
    <dataValidation type="decimal" allowBlank="1" showInputMessage="1" showErrorMessage="1" sqref="L18 L22 L27 L32 L38 L49 L11 C9:C10 F9:F10 I9:I10 C24:C26 F24:F26 I24:I26 C34:C37 F34:F37 I34:I37 C51:C55 F51:F55 I51:I55 I13:I17 F13:F17 C13:C17 I20:I21 F20:F21 C20:C21 I29:I31 F29:F31 C29:C31 I40:I48 F40:F48 C40:C48" xr:uid="{4A0D4DC8-F6F9-4765-AB49-E4E0ACDB1361}">
      <formula1>0</formula1>
      <formula2>1</formula2>
    </dataValidation>
    <dataValidation type="decimal" allowBlank="1" showInputMessage="1" showErrorMessage="1" error="Les évaluations sont faites en terme de pourcentage. Veuillez entrer une valeur entre 0 et 1" sqref="L51:L55 L24:L26 L34:L37 L13:L17 L20:L21 L29:L31 L40:L48" xr:uid="{AAE14471-5DF0-44BC-98DF-F030213BD16C}">
      <formula1>0</formula1>
      <formula2>1</formula2>
    </dataValidation>
  </dataValidations>
  <pageMargins left="0.7" right="0.7" top="0.75" bottom="0.75"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54262-C76A-40FE-9AF3-642EF9B2EA00}">
  <sheetPr codeName="Sheet8"/>
  <dimension ref="A2:H42"/>
  <sheetViews>
    <sheetView topLeftCell="A20" workbookViewId="0">
      <selection activeCell="H13" sqref="H13"/>
    </sheetView>
  </sheetViews>
  <sheetFormatPr defaultColWidth="9.140625" defaultRowHeight="15"/>
  <cols>
    <col min="1" max="1" width="50.5703125" style="37" customWidth="1"/>
    <col min="2" max="3" width="9.140625" style="37"/>
    <col min="4" max="4" width="9.85546875" style="37" bestFit="1" customWidth="1"/>
    <col min="5" max="5" width="11" style="37" bestFit="1" customWidth="1"/>
    <col min="6" max="6" width="11" style="37" customWidth="1"/>
    <col min="7" max="7" width="90.7109375" style="37" customWidth="1"/>
    <col min="8" max="8" width="40.85546875" style="37" customWidth="1"/>
    <col min="9" max="16384" width="9.140625" style="37"/>
  </cols>
  <sheetData>
    <row r="2" spans="1:8" ht="18.75">
      <c r="A2" s="274" t="s">
        <v>11</v>
      </c>
      <c r="B2" s="274"/>
      <c r="C2" s="274"/>
      <c r="D2" s="274"/>
      <c r="E2" s="274"/>
      <c r="F2" s="274"/>
      <c r="G2" s="274"/>
    </row>
    <row r="3" spans="1:8">
      <c r="A3" s="38"/>
      <c r="B3" s="38"/>
      <c r="C3" s="39"/>
      <c r="D3" s="39"/>
      <c r="E3" s="38"/>
      <c r="F3" s="38"/>
      <c r="G3" s="39"/>
    </row>
    <row r="4" spans="1:8" ht="18.75">
      <c r="A4" s="36" t="s">
        <v>133</v>
      </c>
      <c r="B4" s="36"/>
      <c r="C4" s="36"/>
      <c r="D4" s="36"/>
      <c r="E4" s="36"/>
      <c r="F4" s="36"/>
      <c r="G4" s="36"/>
    </row>
    <row r="5" spans="1:8" ht="15.75" thickBot="1"/>
    <row r="6" spans="1:8" ht="23.25">
      <c r="A6" s="278" t="s">
        <v>7</v>
      </c>
      <c r="B6" s="279"/>
      <c r="C6" s="279"/>
      <c r="D6" s="279"/>
      <c r="E6" s="279"/>
      <c r="F6" s="279"/>
      <c r="G6" s="280"/>
    </row>
    <row r="7" spans="1:8">
      <c r="A7" s="130" t="s">
        <v>134</v>
      </c>
      <c r="B7" s="131" t="s">
        <v>15</v>
      </c>
      <c r="C7" s="131" t="s">
        <v>135</v>
      </c>
      <c r="D7" s="131" t="s">
        <v>4</v>
      </c>
      <c r="E7" s="131" t="s">
        <v>136</v>
      </c>
      <c r="F7" s="131" t="s">
        <v>18</v>
      </c>
      <c r="G7" s="132" t="s">
        <v>16</v>
      </c>
    </row>
    <row r="8" spans="1:8">
      <c r="A8" s="133" t="s">
        <v>137</v>
      </c>
      <c r="B8" s="134">
        <v>1</v>
      </c>
      <c r="C8" s="134">
        <v>1</v>
      </c>
      <c r="D8" s="134">
        <v>5</v>
      </c>
      <c r="E8" s="134">
        <f t="shared" ref="E8:E13" si="0">B8*C8*D8</f>
        <v>5</v>
      </c>
      <c r="F8" s="134" t="s">
        <v>138</v>
      </c>
      <c r="G8" s="135"/>
    </row>
    <row r="9" spans="1:8" ht="121.5">
      <c r="A9" s="136" t="s">
        <v>139</v>
      </c>
      <c r="B9" s="137">
        <v>0.1</v>
      </c>
      <c r="C9" s="134">
        <v>1</v>
      </c>
      <c r="D9" s="137">
        <v>20</v>
      </c>
      <c r="E9" s="137">
        <f t="shared" si="0"/>
        <v>2</v>
      </c>
      <c r="F9" s="134" t="s">
        <v>138</v>
      </c>
      <c r="G9" s="230" t="s">
        <v>140</v>
      </c>
    </row>
    <row r="10" spans="1:8">
      <c r="A10" s="133" t="s">
        <v>141</v>
      </c>
      <c r="B10" s="134">
        <v>1</v>
      </c>
      <c r="C10" s="134">
        <v>1</v>
      </c>
      <c r="D10" s="134">
        <v>10</v>
      </c>
      <c r="E10" s="134">
        <f t="shared" si="0"/>
        <v>10</v>
      </c>
      <c r="F10" s="134" t="s">
        <v>138</v>
      </c>
      <c r="G10" s="231"/>
    </row>
    <row r="11" spans="1:8" ht="30.75">
      <c r="A11" s="136" t="s">
        <v>142</v>
      </c>
      <c r="B11" s="137">
        <v>0.75</v>
      </c>
      <c r="C11" s="134">
        <v>1</v>
      </c>
      <c r="D11" s="137">
        <v>20</v>
      </c>
      <c r="E11" s="137">
        <f t="shared" si="0"/>
        <v>15</v>
      </c>
      <c r="F11" s="134" t="s">
        <v>138</v>
      </c>
      <c r="G11" s="230" t="s">
        <v>143</v>
      </c>
    </row>
    <row r="12" spans="1:8" ht="45.75">
      <c r="A12" s="133" t="s">
        <v>144</v>
      </c>
      <c r="B12" s="134">
        <v>0.6</v>
      </c>
      <c r="C12" s="134">
        <v>1</v>
      </c>
      <c r="D12" s="134">
        <v>30</v>
      </c>
      <c r="E12" s="134">
        <f t="shared" si="0"/>
        <v>18</v>
      </c>
      <c r="F12" s="134" t="s">
        <v>138</v>
      </c>
      <c r="G12" s="230" t="s">
        <v>145</v>
      </c>
      <c r="H12" s="232"/>
    </row>
    <row r="13" spans="1:8" ht="30.75">
      <c r="A13" s="136" t="s">
        <v>146</v>
      </c>
      <c r="B13" s="137">
        <v>0.75</v>
      </c>
      <c r="C13" s="137">
        <v>0.75</v>
      </c>
      <c r="D13" s="137">
        <v>15</v>
      </c>
      <c r="E13" s="137">
        <f t="shared" si="0"/>
        <v>8.4375</v>
      </c>
      <c r="F13" s="134" t="s">
        <v>138</v>
      </c>
      <c r="G13" s="230" t="s">
        <v>147</v>
      </c>
      <c r="H13" s="232"/>
    </row>
    <row r="14" spans="1:8">
      <c r="A14" s="138" t="s">
        <v>148</v>
      </c>
      <c r="B14" s="281"/>
      <c r="C14" s="281"/>
      <c r="D14" s="139">
        <f>SUM(D8:D13)</f>
        <v>100</v>
      </c>
      <c r="E14" s="140">
        <f>(SUM(E8:E13)+E16+E17)/D14</f>
        <v>0.53437500000000004</v>
      </c>
      <c r="F14" s="140"/>
      <c r="G14" s="141"/>
    </row>
    <row r="15" spans="1:8">
      <c r="A15" s="142" t="s">
        <v>149</v>
      </c>
      <c r="B15" s="143" t="s">
        <v>15</v>
      </c>
      <c r="C15" s="143"/>
      <c r="D15" s="143" t="s">
        <v>4</v>
      </c>
      <c r="E15" s="144" t="s">
        <v>136</v>
      </c>
      <c r="F15" s="144"/>
      <c r="G15" s="145" t="s">
        <v>16</v>
      </c>
    </row>
    <row r="16" spans="1:8">
      <c r="A16" s="146" t="s">
        <v>150</v>
      </c>
      <c r="B16" s="147">
        <v>0.5</v>
      </c>
      <c r="C16" s="147"/>
      <c r="D16" s="148">
        <v>-10</v>
      </c>
      <c r="E16" s="147">
        <f>B16*D16</f>
        <v>-5</v>
      </c>
      <c r="F16" s="147"/>
      <c r="G16" s="149" t="s">
        <v>151</v>
      </c>
    </row>
    <row r="17" spans="1:8">
      <c r="A17" s="150" t="s">
        <v>152</v>
      </c>
      <c r="B17" s="151"/>
      <c r="C17" s="151"/>
      <c r="D17" s="152">
        <v>-15</v>
      </c>
      <c r="E17" s="151">
        <f>B17*D17</f>
        <v>0</v>
      </c>
      <c r="F17" s="151"/>
      <c r="G17" s="153"/>
    </row>
    <row r="18" spans="1:8" ht="23.25">
      <c r="A18" s="282" t="s">
        <v>8</v>
      </c>
      <c r="B18" s="283"/>
      <c r="C18" s="283"/>
      <c r="D18" s="283"/>
      <c r="E18" s="283"/>
      <c r="F18" s="283"/>
      <c r="G18" s="284"/>
    </row>
    <row r="19" spans="1:8">
      <c r="A19" s="154" t="s">
        <v>134</v>
      </c>
      <c r="B19" s="155" t="s">
        <v>15</v>
      </c>
      <c r="C19" s="155" t="s">
        <v>135</v>
      </c>
      <c r="D19" s="155" t="s">
        <v>4</v>
      </c>
      <c r="E19" s="155" t="s">
        <v>136</v>
      </c>
      <c r="F19" s="155" t="s">
        <v>18</v>
      </c>
      <c r="G19" s="156" t="s">
        <v>16</v>
      </c>
      <c r="H19"/>
    </row>
    <row r="20" spans="1:8">
      <c r="A20" s="157" t="s">
        <v>153</v>
      </c>
      <c r="B20" s="158">
        <v>1</v>
      </c>
      <c r="C20" s="158">
        <v>1</v>
      </c>
      <c r="D20" s="158">
        <v>15</v>
      </c>
      <c r="E20" s="158">
        <f>B20*C20*D20</f>
        <v>15</v>
      </c>
      <c r="F20" s="158" t="s">
        <v>138</v>
      </c>
      <c r="G20" s="159" t="s">
        <v>154</v>
      </c>
      <c r="H20"/>
    </row>
    <row r="21" spans="1:8">
      <c r="A21" s="160" t="s">
        <v>155</v>
      </c>
      <c r="B21" s="161">
        <v>0.9</v>
      </c>
      <c r="C21" s="161">
        <v>1</v>
      </c>
      <c r="D21" s="161">
        <v>20</v>
      </c>
      <c r="E21" s="161">
        <f t="shared" ref="E21:E24" si="1">B21*C21*D21</f>
        <v>18</v>
      </c>
      <c r="F21" s="158" t="s">
        <v>138</v>
      </c>
      <c r="G21" s="214" t="s">
        <v>156</v>
      </c>
      <c r="H21"/>
    </row>
    <row r="22" spans="1:8">
      <c r="A22" s="157" t="s">
        <v>157</v>
      </c>
      <c r="B22" s="158">
        <v>1</v>
      </c>
      <c r="C22" s="158">
        <v>1</v>
      </c>
      <c r="D22" s="158">
        <v>20</v>
      </c>
      <c r="E22" s="158">
        <f t="shared" si="1"/>
        <v>20</v>
      </c>
      <c r="F22" s="158" t="s">
        <v>138</v>
      </c>
      <c r="G22" s="159" t="s">
        <v>154</v>
      </c>
      <c r="H22"/>
    </row>
    <row r="23" spans="1:8">
      <c r="A23" s="160" t="s">
        <v>158</v>
      </c>
      <c r="B23" s="161">
        <v>0.8</v>
      </c>
      <c r="C23" s="161">
        <v>1</v>
      </c>
      <c r="D23" s="161">
        <v>30</v>
      </c>
      <c r="E23" s="161">
        <f t="shared" si="1"/>
        <v>24</v>
      </c>
      <c r="F23" s="158" t="s">
        <v>138</v>
      </c>
      <c r="G23" s="162" t="s">
        <v>159</v>
      </c>
      <c r="H23"/>
    </row>
    <row r="24" spans="1:8">
      <c r="A24" s="157" t="s">
        <v>160</v>
      </c>
      <c r="B24" s="158">
        <v>1</v>
      </c>
      <c r="C24" s="158">
        <v>1</v>
      </c>
      <c r="D24" s="158">
        <v>15</v>
      </c>
      <c r="E24" s="158">
        <f t="shared" si="1"/>
        <v>15</v>
      </c>
      <c r="F24" s="158" t="s">
        <v>138</v>
      </c>
      <c r="G24" s="159" t="s">
        <v>154</v>
      </c>
      <c r="H24"/>
    </row>
    <row r="25" spans="1:8">
      <c r="A25" s="163" t="s">
        <v>148</v>
      </c>
      <c r="B25" s="164"/>
      <c r="C25" s="164"/>
      <c r="D25" s="164">
        <f>SUM(D20:D24)</f>
        <v>100</v>
      </c>
      <c r="E25" s="165">
        <f>(SUM(E20:E24) + E27+E28+E29)/D25</f>
        <v>0.82</v>
      </c>
      <c r="F25" s="165"/>
      <c r="G25" s="166"/>
    </row>
    <row r="26" spans="1:8">
      <c r="A26" s="167" t="s">
        <v>149</v>
      </c>
      <c r="B26" s="168" t="s">
        <v>15</v>
      </c>
      <c r="C26" s="168"/>
      <c r="D26" s="168" t="s">
        <v>4</v>
      </c>
      <c r="E26" s="169" t="s">
        <v>136</v>
      </c>
      <c r="F26" s="169"/>
      <c r="G26" s="170" t="s">
        <v>16</v>
      </c>
    </row>
    <row r="27" spans="1:8">
      <c r="A27" s="171" t="s">
        <v>150</v>
      </c>
      <c r="B27" s="172">
        <v>1</v>
      </c>
      <c r="C27" s="172"/>
      <c r="D27" s="173">
        <v>-10</v>
      </c>
      <c r="E27" s="172">
        <f>B27*D27</f>
        <v>-10</v>
      </c>
      <c r="F27" s="172"/>
      <c r="G27" s="174" t="s">
        <v>161</v>
      </c>
    </row>
    <row r="28" spans="1:8">
      <c r="A28" s="175" t="s">
        <v>162</v>
      </c>
      <c r="B28" s="176">
        <v>0</v>
      </c>
      <c r="C28" s="176"/>
      <c r="D28" s="177">
        <v>-15</v>
      </c>
      <c r="E28" s="176">
        <f>B28*D28</f>
        <v>0</v>
      </c>
      <c r="F28" s="176"/>
      <c r="G28" s="178"/>
    </row>
    <row r="29" spans="1:8">
      <c r="A29" s="179" t="s">
        <v>163</v>
      </c>
      <c r="B29" s="180">
        <v>0</v>
      </c>
      <c r="C29" s="180"/>
      <c r="D29" s="181">
        <v>-5</v>
      </c>
      <c r="E29" s="180">
        <f>B29*D29</f>
        <v>0</v>
      </c>
      <c r="F29" s="180"/>
      <c r="G29" s="182"/>
    </row>
    <row r="30" spans="1:8" ht="23.25">
      <c r="A30" s="275" t="s">
        <v>9</v>
      </c>
      <c r="B30" s="276"/>
      <c r="C30" s="276"/>
      <c r="D30" s="276"/>
      <c r="E30" s="276"/>
      <c r="F30" s="276"/>
      <c r="G30" s="277"/>
    </row>
    <row r="31" spans="1:8">
      <c r="A31" s="183" t="s">
        <v>134</v>
      </c>
      <c r="B31" s="184" t="s">
        <v>15</v>
      </c>
      <c r="C31" s="184" t="s">
        <v>135</v>
      </c>
      <c r="D31" s="184" t="s">
        <v>4</v>
      </c>
      <c r="E31" s="184" t="s">
        <v>136</v>
      </c>
      <c r="F31" s="184" t="s">
        <v>18</v>
      </c>
      <c r="G31" s="185" t="s">
        <v>16</v>
      </c>
    </row>
    <row r="32" spans="1:8">
      <c r="A32" s="186" t="s">
        <v>164</v>
      </c>
      <c r="B32" s="187">
        <v>0.8</v>
      </c>
      <c r="C32" s="187">
        <v>1</v>
      </c>
      <c r="D32" s="187">
        <v>10</v>
      </c>
      <c r="E32" s="187">
        <f t="shared" ref="E32:E37" si="2">B32*C32*D32</f>
        <v>8</v>
      </c>
      <c r="F32" s="187" t="s">
        <v>138</v>
      </c>
      <c r="G32" s="229" t="s">
        <v>165</v>
      </c>
    </row>
    <row r="33" spans="1:7">
      <c r="A33" s="189" t="s">
        <v>166</v>
      </c>
      <c r="B33" s="190">
        <v>1</v>
      </c>
      <c r="C33" s="187">
        <v>1</v>
      </c>
      <c r="D33" s="190">
        <v>25</v>
      </c>
      <c r="E33" s="190">
        <f t="shared" si="2"/>
        <v>25</v>
      </c>
      <c r="F33" s="187" t="s">
        <v>138</v>
      </c>
      <c r="G33" s="191" t="s">
        <v>154</v>
      </c>
    </row>
    <row r="34" spans="1:7">
      <c r="A34" s="186" t="s">
        <v>167</v>
      </c>
      <c r="B34" s="187">
        <v>1</v>
      </c>
      <c r="C34" s="187">
        <v>1</v>
      </c>
      <c r="D34" s="187">
        <v>15</v>
      </c>
      <c r="E34" s="187">
        <f t="shared" si="2"/>
        <v>15</v>
      </c>
      <c r="F34" s="187" t="s">
        <v>138</v>
      </c>
      <c r="G34" s="188" t="s">
        <v>154</v>
      </c>
    </row>
    <row r="35" spans="1:7">
      <c r="A35" s="189" t="s">
        <v>168</v>
      </c>
      <c r="B35" s="190">
        <v>1</v>
      </c>
      <c r="C35" s="187">
        <v>1</v>
      </c>
      <c r="D35" s="190">
        <v>20</v>
      </c>
      <c r="E35" s="190">
        <f t="shared" si="2"/>
        <v>20</v>
      </c>
      <c r="F35" s="187" t="s">
        <v>138</v>
      </c>
      <c r="G35" s="191" t="s">
        <v>154</v>
      </c>
    </row>
    <row r="36" spans="1:7">
      <c r="A36" s="186" t="s">
        <v>169</v>
      </c>
      <c r="B36" s="187">
        <v>0.9</v>
      </c>
      <c r="C36" s="187">
        <v>1</v>
      </c>
      <c r="D36" s="187">
        <v>15</v>
      </c>
      <c r="E36" s="187">
        <f t="shared" si="2"/>
        <v>13.5</v>
      </c>
      <c r="F36" s="187" t="s">
        <v>138</v>
      </c>
      <c r="G36" s="188" t="s">
        <v>170</v>
      </c>
    </row>
    <row r="37" spans="1:7">
      <c r="A37" s="189" t="s">
        <v>171</v>
      </c>
      <c r="B37" s="190">
        <v>1</v>
      </c>
      <c r="C37" s="187">
        <v>1</v>
      </c>
      <c r="D37" s="190">
        <v>15</v>
      </c>
      <c r="E37" s="190">
        <f t="shared" si="2"/>
        <v>15</v>
      </c>
      <c r="F37" s="187" t="s">
        <v>138</v>
      </c>
      <c r="G37" s="191" t="s">
        <v>154</v>
      </c>
    </row>
    <row r="38" spans="1:7">
      <c r="A38" s="192" t="s">
        <v>148</v>
      </c>
      <c r="B38" s="193"/>
      <c r="C38" s="193"/>
      <c r="D38" s="193">
        <f>SUM(D32:D37)</f>
        <v>100</v>
      </c>
      <c r="E38" s="194">
        <f>(SUM(E32:E37) +E40+E41+E42)/D38</f>
        <v>0.96499999999999997</v>
      </c>
      <c r="F38" s="194"/>
      <c r="G38" s="195"/>
    </row>
    <row r="39" spans="1:7">
      <c r="A39" s="196" t="s">
        <v>149</v>
      </c>
      <c r="B39" s="197" t="s">
        <v>15</v>
      </c>
      <c r="C39" s="197"/>
      <c r="D39" s="197" t="s">
        <v>4</v>
      </c>
      <c r="E39" s="198" t="s">
        <v>136</v>
      </c>
      <c r="F39" s="198"/>
      <c r="G39" s="199" t="s">
        <v>16</v>
      </c>
    </row>
    <row r="40" spans="1:7">
      <c r="A40" s="200" t="s">
        <v>150</v>
      </c>
      <c r="B40" s="201">
        <v>0</v>
      </c>
      <c r="C40" s="201"/>
      <c r="D40" s="202">
        <v>-10</v>
      </c>
      <c r="E40" s="201">
        <f>B40*D40</f>
        <v>0</v>
      </c>
      <c r="F40" s="201"/>
      <c r="G40" s="203"/>
    </row>
    <row r="41" spans="1:7">
      <c r="A41" s="204" t="s">
        <v>172</v>
      </c>
      <c r="B41" s="205">
        <v>0</v>
      </c>
      <c r="C41" s="205"/>
      <c r="D41" s="206">
        <v>-15</v>
      </c>
      <c r="E41" s="205">
        <f>B41*D41</f>
        <v>0</v>
      </c>
      <c r="F41" s="205"/>
      <c r="G41" s="207"/>
    </row>
    <row r="42" spans="1:7">
      <c r="A42" s="208" t="s">
        <v>163</v>
      </c>
      <c r="B42" s="209">
        <v>0</v>
      </c>
      <c r="C42" s="209"/>
      <c r="D42" s="210">
        <v>-5</v>
      </c>
      <c r="E42" s="209">
        <f>B42*D42</f>
        <v>0</v>
      </c>
      <c r="F42" s="209"/>
      <c r="G42" s="211"/>
    </row>
  </sheetData>
  <mergeCells count="5">
    <mergeCell ref="A2:G2"/>
    <mergeCell ref="A30:G30"/>
    <mergeCell ref="A6:G6"/>
    <mergeCell ref="B14:C14"/>
    <mergeCell ref="A18:G18"/>
  </mergeCells>
  <dataValidations count="3">
    <dataValidation type="decimal" allowBlank="1" showInputMessage="1" showErrorMessage="1" sqref="E17:F17 B27:B29 B16:B17 B32:B37 B40:B42 B20:B24 B8:B14" xr:uid="{CC44C972-8B8F-4678-BAEB-D51FFB0200E2}">
      <formula1>0</formula1>
      <formula2>1</formula2>
    </dataValidation>
    <dataValidation type="list" allowBlank="1" showInputMessage="1" showErrorMessage="1" sqref="C16 C8:C13 C32:C37" xr:uid="{DCFB5783-098F-4837-84E1-A329359B138C}">
      <formula1>"0,0.25,0.50,0.75,1"</formula1>
    </dataValidation>
    <dataValidation type="whole" allowBlank="1" showInputMessage="1" showErrorMessage="1" sqref="E41:F41 E28:F28" xr:uid="{301E7E41-CD71-4A91-B881-91EF87706901}">
      <formula1>0</formula1>
      <formula2>1</formula2>
    </dataValidation>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BADF3-C115-4BB7-A238-E0CBC556CE80}">
  <dimension ref="A1:E16"/>
  <sheetViews>
    <sheetView topLeftCell="B1" workbookViewId="0">
      <selection activeCell="E9" sqref="E9"/>
    </sheetView>
  </sheetViews>
  <sheetFormatPr defaultRowHeight="15"/>
  <cols>
    <col min="1" max="1" width="29.28515625" customWidth="1"/>
    <col min="2" max="2" width="88.85546875" customWidth="1"/>
    <col min="4" max="4" width="44.140625" customWidth="1"/>
    <col min="5" max="5" width="51.85546875" customWidth="1"/>
  </cols>
  <sheetData>
    <row r="1" spans="1:5" ht="30.75" customHeight="1">
      <c r="A1" s="285" t="s">
        <v>173</v>
      </c>
      <c r="B1" s="285"/>
      <c r="D1" s="285" t="s">
        <v>174</v>
      </c>
      <c r="E1" s="285"/>
    </row>
    <row r="2" spans="1:5" ht="35.25" customHeight="1">
      <c r="B2" s="228" t="s">
        <v>16</v>
      </c>
      <c r="C2" s="228"/>
      <c r="D2" s="228"/>
      <c r="E2" s="228" t="s">
        <v>16</v>
      </c>
    </row>
    <row r="3" spans="1:5" ht="25.5" customHeight="1">
      <c r="A3" s="215" t="s">
        <v>175</v>
      </c>
      <c r="B3" s="221"/>
      <c r="D3" s="215" t="s">
        <v>175</v>
      </c>
      <c r="E3" s="221"/>
    </row>
    <row r="4" spans="1:5" ht="35.25" customHeight="1">
      <c r="A4" s="216" t="s">
        <v>176</v>
      </c>
      <c r="B4" s="222">
        <v>1</v>
      </c>
      <c r="D4" s="216" t="s">
        <v>176</v>
      </c>
      <c r="E4" s="222">
        <v>1</v>
      </c>
    </row>
    <row r="5" spans="1:5" ht="42" customHeight="1">
      <c r="A5" s="215"/>
      <c r="B5" s="223" t="s">
        <v>177</v>
      </c>
      <c r="D5" s="215"/>
      <c r="E5" s="223" t="s">
        <v>178</v>
      </c>
    </row>
    <row r="6" spans="1:5" ht="16.5">
      <c r="A6" s="216" t="s">
        <v>179</v>
      </c>
      <c r="B6" s="222">
        <v>5</v>
      </c>
      <c r="D6" s="216" t="s">
        <v>180</v>
      </c>
      <c r="E6" s="222">
        <v>5</v>
      </c>
    </row>
    <row r="7" spans="1:5" ht="186.75" customHeight="1">
      <c r="A7" s="215"/>
      <c r="B7" s="221" t="s">
        <v>181</v>
      </c>
      <c r="D7" s="215"/>
      <c r="E7" s="221" t="s">
        <v>182</v>
      </c>
    </row>
    <row r="8" spans="1:5" ht="16.5">
      <c r="A8" s="216" t="s">
        <v>183</v>
      </c>
      <c r="B8" s="222">
        <v>7</v>
      </c>
      <c r="D8" s="216" t="s">
        <v>184</v>
      </c>
      <c r="E8" s="222">
        <v>5</v>
      </c>
    </row>
    <row r="9" spans="1:5" ht="178.5">
      <c r="A9" s="215"/>
      <c r="B9" s="224" t="s">
        <v>185</v>
      </c>
      <c r="D9" s="217"/>
      <c r="E9" s="224" t="s">
        <v>186</v>
      </c>
    </row>
    <row r="10" spans="1:5" ht="16.5">
      <c r="A10" s="216" t="s">
        <v>187</v>
      </c>
      <c r="B10" s="222">
        <v>0.25</v>
      </c>
    </row>
    <row r="11" spans="1:5" ht="148.5" customHeight="1">
      <c r="A11" s="217"/>
      <c r="B11" s="224" t="s">
        <v>188</v>
      </c>
    </row>
    <row r="12" spans="1:5" ht="16.5">
      <c r="A12" s="218" t="s">
        <v>189</v>
      </c>
      <c r="B12" s="222">
        <v>0.75</v>
      </c>
      <c r="D12" s="218" t="s">
        <v>189</v>
      </c>
      <c r="E12" s="227">
        <v>0.75</v>
      </c>
    </row>
    <row r="13" spans="1:5" ht="32.25">
      <c r="A13" s="215"/>
      <c r="B13" s="224" t="s">
        <v>190</v>
      </c>
      <c r="D13" s="215"/>
      <c r="E13" s="224" t="s">
        <v>191</v>
      </c>
    </row>
    <row r="14" spans="1:5" ht="16.5">
      <c r="A14" s="219" t="s">
        <v>192</v>
      </c>
      <c r="B14" s="225">
        <f>SUM(B4,B6,B8,B10)</f>
        <v>13.25</v>
      </c>
      <c r="D14" s="219" t="s">
        <v>192</v>
      </c>
      <c r="E14" s="225">
        <f>SUM(E4,E6,E8)</f>
        <v>11</v>
      </c>
    </row>
    <row r="15" spans="1:5" ht="16.5">
      <c r="A15" s="219" t="s">
        <v>193</v>
      </c>
      <c r="B15" s="225">
        <f>B12</f>
        <v>0.75</v>
      </c>
      <c r="D15" s="219" t="s">
        <v>193</v>
      </c>
      <c r="E15" s="225">
        <f>E12</f>
        <v>0.75</v>
      </c>
    </row>
    <row r="16" spans="1:5" ht="16.5">
      <c r="A16" s="220" t="s">
        <v>194</v>
      </c>
      <c r="B16" s="226">
        <f>B14/20*0.9+B15*0.1</f>
        <v>0.6712499999999999</v>
      </c>
      <c r="D16" s="220" t="s">
        <v>194</v>
      </c>
      <c r="E16" s="226">
        <f>E14/20*0.9+E15*0.1</f>
        <v>0.57000000000000006</v>
      </c>
    </row>
  </sheetData>
  <mergeCells count="2">
    <mergeCell ref="A1:B1"/>
    <mergeCell ref="D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41E0342602C49449CD93109DBCAB8C5" ma:contentTypeVersion="2" ma:contentTypeDescription="Create a new document." ma:contentTypeScope="" ma:versionID="4cab946e3812a26735e8b0dc00d59aca">
  <xsd:schema xmlns:xsd="http://www.w3.org/2001/XMLSchema" xmlns:xs="http://www.w3.org/2001/XMLSchema" xmlns:p="http://schemas.microsoft.com/office/2006/metadata/properties" xmlns:ns2="d3ea4e87-b30d-4ccc-9564-7710f23c54f0" targetNamespace="http://schemas.microsoft.com/office/2006/metadata/properties" ma:root="true" ma:fieldsID="afa808ced5dc9827eedaaa69eb8b35dd" ns2:_="">
    <xsd:import namespace="d3ea4e87-b30d-4ccc-9564-7710f23c54f0"/>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ea4e87-b30d-4ccc-9564-7710f23c54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D1971BE-1E76-44E5-BF52-2DB1BB889C58}"/>
</file>

<file path=customXml/itemProps2.xml><?xml version="1.0" encoding="utf-8"?>
<ds:datastoreItem xmlns:ds="http://schemas.openxmlformats.org/officeDocument/2006/customXml" ds:itemID="{4F62C71A-5318-410B-8440-006B73523578}"/>
</file>

<file path=customXml/itemProps3.xml><?xml version="1.0" encoding="utf-8"?>
<ds:datastoreItem xmlns:ds="http://schemas.openxmlformats.org/officeDocument/2006/customXml" ds:itemID="{6F1A1E89-A0AE-4DED-85B2-2445C39C0F5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Emilio</dc:creator>
  <cp:keywords/>
  <dc:description/>
  <cp:lastModifiedBy>Nikolay Radoev</cp:lastModifiedBy>
  <cp:revision>1</cp:revision>
  <dcterms:created xsi:type="dcterms:W3CDTF">2006-09-16T00:00:00Z</dcterms:created>
  <dcterms:modified xsi:type="dcterms:W3CDTF">2023-12-14T23:53:20Z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ContentTypeId">
    <vt:lpwstr>0x010100B41E0342602C49449CD93109DBCAB8C5</vt:lpwstr>
  </property>
</Properties>
</file>